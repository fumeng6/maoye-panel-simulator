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aruhi\Desktop\计算器\"/>
    </mc:Choice>
  </mc:AlternateContent>
  <bookViews>
    <workbookView windowWidth="27945" windowHeight="12375" activeTab="4"/>
  </bookViews>
  <sheets>
    <sheet name="DIY" sheetId="7" r:id="rId1"/>
    <sheet name="心法" sheetId="5" r:id="rId2"/>
    <sheet name="基础属性" sheetId="24" r:id="rId3"/>
    <sheet name="武学天赋" sheetId="25" r:id="rId4"/>
    <sheet name="版本日志" sheetId="2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<sst xmlns="http://schemas.openxmlformats.org/spreadsheetml/2006/main" count="317" uniqueCount="205">
  <si>
    <t>判定抗性</t>
  </si>
  <si>
    <t>增伤抗性</t>
  </si>
  <si>
    <t>弓决</t>
  </si>
  <si>
    <t>套装</t>
  </si>
  <si>
    <t>参考数值</t>
  </si>
  <si>
    <t>基础白值</t>
  </si>
  <si>
    <t>面板白值</t>
  </si>
  <si>
    <t>最终面板</t>
  </si>
  <si>
    <t>左武</t>
  </si>
  <si>
    <t>右武</t>
  </si>
  <si>
    <t>环</t>
  </si>
  <si>
    <t>佩</t>
  </si>
  <si>
    <t>头</t>
  </si>
  <si>
    <t>胸</t>
  </si>
  <si>
    <t>腿</t>
  </si>
  <si>
    <t>手</t>
  </si>
  <si>
    <t>会心</t>
  </si>
  <si>
    <t>撼天</t>
  </si>
  <si>
    <t>天赋</t>
  </si>
  <si>
    <t>心法</t>
  </si>
  <si>
    <t>满值</t>
  </si>
  <si>
    <t>承音</t>
  </si>
  <si>
    <t>等级</t>
  </si>
  <si>
    <t>劲</t>
  </si>
  <si>
    <t>最小外攻</t>
  </si>
  <si>
    <t>扶摇直上</t>
  </si>
  <si>
    <t>敏</t>
  </si>
  <si>
    <t>最大外攻</t>
  </si>
  <si>
    <t>易水歌</t>
  </si>
  <si>
    <t>势</t>
  </si>
  <si>
    <t>精准率</t>
  </si>
  <si>
    <t>擒天势</t>
  </si>
  <si>
    <t>会心率</t>
  </si>
  <si>
    <t>断石之构</t>
  </si>
  <si>
    <t>直接会心</t>
  </si>
  <si>
    <t>会伤</t>
  </si>
  <si>
    <t>武库</t>
  </si>
  <si>
    <t>本系</t>
  </si>
  <si>
    <t>&lt;&lt;&lt;&lt;&lt;</t>
  </si>
  <si>
    <t>会意率</t>
  </si>
  <si>
    <t>外功</t>
  </si>
  <si>
    <t>直接会意</t>
  </si>
  <si>
    <t>最小鸣金</t>
  </si>
  <si>
    <t>会意伤</t>
  </si>
  <si>
    <t>最大鸣金</t>
  </si>
  <si>
    <t>武学</t>
  </si>
  <si>
    <t>要求属性</t>
  </si>
  <si>
    <t>需求数值</t>
  </si>
  <si>
    <t>最小裂石</t>
  </si>
  <si>
    <t>破竹鸢</t>
  </si>
  <si>
    <t>最大裂石</t>
  </si>
  <si>
    <t>最小牵丝</t>
  </si>
  <si>
    <t>最大牵丝</t>
  </si>
  <si>
    <t>属性需求</t>
  </si>
  <si>
    <t>最小破竹</t>
  </si>
  <si>
    <t>最大破竹</t>
  </si>
  <si>
    <t>最小无相</t>
  </si>
  <si>
    <t>最大无相</t>
  </si>
  <si>
    <t>武学增伤</t>
  </si>
  <si>
    <r>
      <rPr>
        <b/>
        <sz val="11"/>
        <color theme="1"/>
        <rFont val="宋体"/>
        <charset val="134"/>
        <scheme val="minor"/>
      </rPr>
      <t>只修改</t>
    </r>
    <r>
      <rPr>
        <b/>
        <sz val="11"/>
        <color theme="8" tint="0.8"/>
        <rFont val="宋体"/>
        <charset val="134"/>
        <scheme val="minor"/>
      </rPr>
      <t>青</t>
    </r>
    <r>
      <rPr>
        <b/>
        <sz val="11"/>
        <rFont val="宋体"/>
        <charset val="134"/>
        <scheme val="minor"/>
      </rPr>
      <t>色</t>
    </r>
    <r>
      <rPr>
        <b/>
        <sz val="11"/>
        <color theme="1"/>
        <rFont val="宋体"/>
        <charset val="134"/>
        <scheme val="minor"/>
      </rPr>
      <t>部分和黑框内词条</t>
    </r>
  </si>
  <si>
    <t>奇术增伤</t>
  </si>
  <si>
    <t>首领增</t>
  </si>
  <si>
    <t>全武增</t>
  </si>
  <si>
    <t>外攻穿透</t>
  </si>
  <si>
    <t>外伤增加</t>
  </si>
  <si>
    <t>鸣金穿透</t>
  </si>
  <si>
    <t>鸣金加成</t>
  </si>
  <si>
    <t>裂石穿透</t>
  </si>
  <si>
    <t>裂石加成</t>
  </si>
  <si>
    <t>牵丝穿透</t>
  </si>
  <si>
    <t>牵丝加成</t>
  </si>
  <si>
    <t>破竹穿透</t>
  </si>
  <si>
    <t>破竹加成</t>
  </si>
  <si>
    <t>无相穿透</t>
  </si>
  <si>
    <t>小外</t>
  </si>
  <si>
    <t>大外</t>
  </si>
  <si>
    <t>精准</t>
  </si>
  <si>
    <t>会意</t>
  </si>
  <si>
    <t>外功穿透</t>
  </si>
  <si>
    <t>外功伤害</t>
  </si>
  <si>
    <t>会心伤害</t>
  </si>
  <si>
    <t>会意伤害</t>
  </si>
  <si>
    <t>N/A</t>
  </si>
  <si>
    <t>千营一呼</t>
  </si>
  <si>
    <t>征人归</t>
  </si>
  <si>
    <t>绳舟行木</t>
  </si>
  <si>
    <t>大唐歌</t>
  </si>
  <si>
    <t>极乐泣血</t>
  </si>
  <si>
    <t>心弥泥鱼</t>
  </si>
  <si>
    <t>忘川绝响</t>
  </si>
  <si>
    <t>花上月令</t>
  </si>
  <si>
    <t>剑气纵横</t>
  </si>
  <si>
    <t>明晦同尘</t>
  </si>
  <si>
    <t>所恨年年</t>
  </si>
  <si>
    <t>山河绝韵</t>
  </si>
  <si>
    <t>威猛歌</t>
  </si>
  <si>
    <t>无名剑法</t>
  </si>
  <si>
    <t>千山法</t>
  </si>
  <si>
    <t>逐狼心经</t>
  </si>
  <si>
    <t>纵地摘星</t>
  </si>
  <si>
    <t>春雷篇</t>
  </si>
  <si>
    <t>霜天百夜</t>
  </si>
  <si>
    <t>孤忠不辞</t>
  </si>
  <si>
    <t>穿喉决</t>
  </si>
  <si>
    <t>抗造大法</t>
  </si>
  <si>
    <t>移经易武</t>
  </si>
  <si>
    <t>三穷致知</t>
  </si>
  <si>
    <t>君臣药</t>
  </si>
  <si>
    <t>凝神章</t>
  </si>
  <si>
    <t>相和歌</t>
  </si>
  <si>
    <t>弦墨篇</t>
  </si>
  <si>
    <t>风知意</t>
  </si>
  <si>
    <t>四时无常</t>
  </si>
  <si>
    <t>一醉千秋</t>
  </si>
  <si>
    <t>飞仙醉言</t>
  </si>
  <si>
    <t>燕别云岫</t>
  </si>
  <si>
    <t>大卷微身</t>
  </si>
  <si>
    <t>小攻</t>
  </si>
  <si>
    <t>大攻</t>
  </si>
  <si>
    <t>天赋攻击</t>
  </si>
  <si>
    <t>天赋会心</t>
  </si>
  <si>
    <t>天赋会意</t>
  </si>
  <si>
    <t>天赋小属</t>
  </si>
  <si>
    <t>天赋大属</t>
  </si>
  <si>
    <t>武器1</t>
  </si>
  <si>
    <t>武器2</t>
  </si>
  <si>
    <t>武器叠音</t>
  </si>
  <si>
    <t>环叠音</t>
  </si>
  <si>
    <t>配叠音</t>
  </si>
  <si>
    <t>清河</t>
  </si>
  <si>
    <t>开封</t>
  </si>
  <si>
    <t>河西</t>
  </si>
  <si>
    <t>不见山</t>
  </si>
  <si>
    <t>皇宫</t>
  </si>
  <si>
    <t>青州1</t>
  </si>
  <si>
    <t>夹钟下</t>
  </si>
  <si>
    <t>青州2</t>
  </si>
  <si>
    <t>蕤宾上</t>
  </si>
  <si>
    <t>突破</t>
  </si>
  <si>
    <t>江南</t>
  </si>
  <si>
    <t>杭州西</t>
  </si>
  <si>
    <t>杭州全</t>
  </si>
  <si>
    <t>最小外功</t>
  </si>
  <si>
    <t>最大外功</t>
  </si>
  <si>
    <t>本系属性</t>
  </si>
  <si>
    <t>鸣金影</t>
  </si>
  <si>
    <t>鸣金</t>
  </si>
  <si>
    <t>鸣金虹</t>
  </si>
  <si>
    <t>裂石威</t>
  </si>
  <si>
    <t>裂石</t>
  </si>
  <si>
    <t>裂石钧</t>
  </si>
  <si>
    <t>牵丝玉</t>
  </si>
  <si>
    <t>牵丝</t>
  </si>
  <si>
    <t>牵丝翊</t>
  </si>
  <si>
    <t>破竹尘</t>
  </si>
  <si>
    <t>破竹</t>
  </si>
  <si>
    <t>破竹风</t>
  </si>
  <si>
    <t>破竹樽</t>
  </si>
  <si>
    <t>bilibili@片雲</t>
  </si>
  <si>
    <t>版本号</t>
  </si>
  <si>
    <t>编号</t>
  </si>
  <si>
    <t>描述</t>
  </si>
  <si>
    <t>测试版本</t>
  </si>
  <si>
    <t>更新皇宫版本</t>
  </si>
  <si>
    <t>修正基础属性</t>
  </si>
  <si>
    <t>修正叠音</t>
  </si>
  <si>
    <t>更新夹钟奏雅赛季</t>
  </si>
  <si>
    <t>更新青州第一部分</t>
  </si>
  <si>
    <t>更新牵丝翊</t>
  </si>
  <si>
    <t>更新夹钟奏雅下半赛季</t>
  </si>
  <si>
    <t>0.8.1</t>
  </si>
  <si>
    <t>修正精准</t>
  </si>
  <si>
    <t>0.8.2</t>
  </si>
  <si>
    <t>修正心法数值</t>
  </si>
  <si>
    <t>0.8.3</t>
  </si>
  <si>
    <t>更新蓬山版本蹊跷</t>
  </si>
  <si>
    <t>0.8.4</t>
  </si>
  <si>
    <t>更新6月12日先琢改动</t>
  </si>
  <si>
    <t>0.8.5</t>
  </si>
  <si>
    <t>更新蕤宾叠奏上半数值</t>
  </si>
  <si>
    <t>0.9.1</t>
  </si>
  <si>
    <t>修正承音数值</t>
  </si>
  <si>
    <t>0.9.2</t>
  </si>
  <si>
    <t>修正了精准错误</t>
  </si>
  <si>
    <t>0.9.3</t>
  </si>
  <si>
    <t>修正了心法错误</t>
  </si>
  <si>
    <t>0.9.4</t>
  </si>
  <si>
    <t>修正承音错误</t>
  </si>
  <si>
    <t>0.9.5</t>
  </si>
  <si>
    <t>更新蕤宾叠奏下半数值</t>
  </si>
  <si>
    <t>0.9.6</t>
  </si>
  <si>
    <t>0.9.7</t>
  </si>
  <si>
    <t>0.9.8</t>
  </si>
  <si>
    <t>修正了天赋需求错误,增加樽的DIY</t>
  </si>
  <si>
    <t>0.9.9</t>
  </si>
  <si>
    <t>修正了心法数值</t>
  </si>
  <si>
    <t>0.9.10</t>
  </si>
  <si>
    <t>修正基础属性bug</t>
  </si>
  <si>
    <t>0.9.11</t>
  </si>
  <si>
    <t>更新杭州西版本蹊跷</t>
  </si>
  <si>
    <t>0.9.12</t>
  </si>
  <si>
    <t>0.10.1</t>
  </si>
  <si>
    <t>更新南吕相和赛季</t>
  </si>
  <si>
    <t>0.10.2</t>
  </si>
  <si>
    <t>修正套装精准错误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</si>
</sst>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  <numFmt numFmtId="177" formatCode="0.0%"/>
    <numFmt numFmtId="178" formatCode="0.0000"/>
  </numFmts>
  <fonts count="23"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8" tint="0.8"/>
      <name val="宋体"/>
      <charset val="134"/>
      <scheme val="minor"/>
    </font>
    <font>
      <b/>
      <sz val="11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0" fillId="4" borderId="1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13" applyNumberFormat="0" applyFill="0" applyAlignment="0" applyProtection="0">
      <alignment vertical="center"/>
    </xf>
    <xf numFmtId="0" fontId="8" fillId="0" borderId="13" applyNumberFormat="0" applyFill="0" applyAlignment="0" applyProtection="0">
      <alignment vertical="center"/>
    </xf>
    <xf numFmtId="0" fontId="9" fillId="0" borderId="1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15" applyNumberFormat="0" applyAlignment="0" applyProtection="0">
      <alignment vertical="center"/>
    </xf>
    <xf numFmtId="0" fontId="11" fillId="6" borderId="16" applyNumberFormat="0" applyAlignment="0" applyProtection="0">
      <alignment vertical="center"/>
    </xf>
    <xf numFmtId="0" fontId="12" fillId="6" borderId="15" applyNumberFormat="0" applyAlignment="0" applyProtection="0">
      <alignment vertical="center"/>
    </xf>
    <xf numFmtId="0" fontId="13" fillId="7" borderId="17" applyNumberFormat="0" applyAlignment="0" applyProtection="0">
      <alignment vertical="center"/>
    </xf>
    <xf numFmtId="0" fontId="14" fillId="0" borderId="18" applyNumberFormat="0" applyFill="0" applyAlignment="0" applyProtection="0">
      <alignment vertical="center"/>
    </xf>
    <xf numFmtId="0" fontId="15" fillId="0" borderId="19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54">
    <xf numFmtId="0" fontId="0" fillId="0" borderId="0" xfId="0">
      <alignment vertical="center"/>
    </xf>
    <xf numFmtId="176" fontId="0" fillId="0" borderId="0" xfId="0" applyNumberFormat="1">
      <alignment vertical="center"/>
    </xf>
    <xf numFmtId="176" fontId="1" fillId="0" borderId="1" xfId="6" applyNumberFormat="1" applyFon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176" fontId="0" fillId="0" borderId="4" xfId="0" applyNumberFormat="1" applyBorder="1">
      <alignment vertical="center"/>
    </xf>
    <xf numFmtId="0" fontId="0" fillId="0" borderId="5" xfId="0" applyBorder="1">
      <alignment vertical="center"/>
    </xf>
    <xf numFmtId="0" fontId="0" fillId="0" borderId="6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2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0" xfId="0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9" fontId="0" fillId="0" borderId="0" xfId="0" applyNumberFormat="1">
      <alignment vertical="center"/>
    </xf>
    <xf numFmtId="0" fontId="0" fillId="2" borderId="0" xfId="0" applyFill="1">
      <alignment vertical="center"/>
    </xf>
    <xf numFmtId="177" fontId="0" fillId="0" borderId="0" xfId="0" applyNumberFormat="1">
      <alignment vertical="center"/>
    </xf>
    <xf numFmtId="0" fontId="0" fillId="3" borderId="0" xfId="0" applyFill="1">
      <alignment vertical="center"/>
    </xf>
    <xf numFmtId="10" fontId="0" fillId="0" borderId="0" xfId="0" applyNumberFormat="1">
      <alignment vertical="center"/>
    </xf>
    <xf numFmtId="10" fontId="0" fillId="0" borderId="0" xfId="0" applyNumberFormat="1" applyFill="1">
      <alignment vertical="center"/>
    </xf>
    <xf numFmtId="0" fontId="0" fillId="0" borderId="0" xfId="0" applyFill="1">
      <alignment vertical="center"/>
    </xf>
    <xf numFmtId="0" fontId="0" fillId="0" borderId="0" xfId="0" applyNumberFormat="1" applyFont="1" applyFill="1" applyBorder="1" applyAlignment="1" applyProtection="1">
      <alignment vertical="center"/>
    </xf>
    <xf numFmtId="178" fontId="0" fillId="0" borderId="0" xfId="0" applyNumberFormat="1">
      <alignment vertical="center"/>
    </xf>
    <xf numFmtId="176" fontId="0" fillId="0" borderId="0" xfId="0" applyNumberFormat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4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2" fontId="0" fillId="0" borderId="0" xfId="0" applyNumberFormat="1">
      <alignment vertical="center"/>
    </xf>
    <xf numFmtId="10" fontId="0" fillId="0" borderId="7" xfId="0" applyNumberFormat="1" applyBorder="1">
      <alignment vertical="center"/>
    </xf>
    <xf numFmtId="10" fontId="0" fillId="0" borderId="8" xfId="0" applyNumberFormat="1" applyBorder="1">
      <alignment vertical="center"/>
    </xf>
    <xf numFmtId="0" fontId="2" fillId="0" borderId="0" xfId="0" applyFont="1">
      <alignment vertical="center"/>
    </xf>
    <xf numFmtId="10" fontId="0" fillId="3" borderId="7" xfId="0" applyNumberFormat="1" applyFill="1" applyBorder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0" fontId="0" fillId="3" borderId="0" xfId="0" applyNumberFormat="1" applyFill="1">
      <alignment vertical="center"/>
    </xf>
    <xf numFmtId="177" fontId="0" fillId="0" borderId="0" xfId="0" applyNumberFormat="1" applyFill="1">
      <alignment vertical="center"/>
    </xf>
    <xf numFmtId="0" fontId="2" fillId="0" borderId="7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0" fontId="0" fillId="3" borderId="8" xfId="0" applyNumberFormat="1" applyFill="1" applyBorder="1">
      <alignment vertical="center"/>
    </xf>
    <xf numFmtId="10" fontId="0" fillId="0" borderId="9" xfId="0" applyNumberFormat="1" applyBorder="1">
      <alignment vertical="center"/>
    </xf>
    <xf numFmtId="10" fontId="0" fillId="0" borderId="10" xfId="0" applyNumberFormat="1" applyBorder="1">
      <alignment vertical="center"/>
    </xf>
    <xf numFmtId="10" fontId="0" fillId="3" borderId="10" xfId="0" applyNumberFormat="1" applyFill="1" applyBorder="1">
      <alignment vertical="center"/>
    </xf>
    <xf numFmtId="10" fontId="0" fillId="0" borderId="11" xfId="0" applyNumberFormat="1" applyBorder="1">
      <alignment vertical="center"/>
    </xf>
    <xf numFmtId="0" fontId="0" fillId="0" borderId="0" xfId="0" applyNumberFormat="1">
      <alignment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bilibili@&#29255;&#38642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40"/>
  <sheetViews>
    <sheetView workbookViewId="0">
      <selection activeCell="R31" sqref="R31"/>
    </sheetView>
  </sheetViews>
  <sheetFormatPr defaultColWidth="9" defaultRowHeight="13.5"/>
  <cols>
    <col min="2" max="2" width="9.375"/>
    <col min="4" max="4" width="9" style="1" customWidth="1"/>
  </cols>
  <sheetData>
    <row r="1" spans="1:25">
      <c r="A1" t="s">
        <v>0</v>
      </c>
      <c r="B1" s="24">
        <v>2.8</v>
      </c>
      <c r="C1" t="s">
        <v>1</v>
      </c>
      <c r="D1" s="25">
        <v>1.3225</v>
      </c>
      <c r="K1" s="15"/>
      <c r="L1" s="15"/>
      <c r="M1" s="15"/>
      <c r="N1" s="15"/>
      <c r="O1" s="15"/>
      <c r="P1" s="15"/>
      <c r="Q1" s="15"/>
      <c r="R1" s="15"/>
      <c r="S1" s="15" t="s">
        <v>2</v>
      </c>
      <c r="T1" s="15" t="s">
        <v>3</v>
      </c>
      <c r="U1" s="15"/>
      <c r="V1" s="15"/>
      <c r="W1" s="15" t="s">
        <v>4</v>
      </c>
      <c r="X1" s="15"/>
      <c r="Y1" s="15"/>
    </row>
    <row r="2" ht="14.25" spans="1:25">
      <c r="B2" s="15" t="s">
        <v>5</v>
      </c>
      <c r="C2" s="15" t="s">
        <v>6</v>
      </c>
      <c r="D2" s="26" t="s">
        <v>7</v>
      </c>
      <c r="K2" s="15" t="s">
        <v>8</v>
      </c>
      <c r="L2" s="15" t="s">
        <v>9</v>
      </c>
      <c r="M2" s="15" t="s">
        <v>10</v>
      </c>
      <c r="N2" s="15" t="s">
        <v>11</v>
      </c>
      <c r="O2" s="15" t="s">
        <v>12</v>
      </c>
      <c r="P2" s="15" t="s">
        <v>13</v>
      </c>
      <c r="Q2" s="15" t="s">
        <v>14</v>
      </c>
      <c r="R2" s="15" t="s">
        <v>15</v>
      </c>
      <c r="S2" s="27" t="s">
        <v>16</v>
      </c>
      <c r="T2" s="27" t="s">
        <v>17</v>
      </c>
      <c r="U2" s="15" t="s">
        <v>18</v>
      </c>
      <c r="V2" s="15" t="s">
        <v>19</v>
      </c>
      <c r="X2" s="15" t="s">
        <v>20</v>
      </c>
      <c r="Y2" s="15" t="s">
        <v>21</v>
      </c>
    </row>
    <row r="3" spans="1:25">
      <c r="A3" t="s">
        <v>22</v>
      </c>
      <c r="B3">
        <v>100</v>
      </c>
      <c r="F3" s="15" t="s">
        <v>19</v>
      </c>
      <c r="J3" t="s">
        <v>23</v>
      </c>
      <c r="K3" s="28"/>
      <c r="L3" s="6"/>
      <c r="M3" s="6"/>
      <c r="N3" s="6"/>
      <c r="O3" s="6"/>
      <c r="P3" s="6"/>
      <c r="Q3" s="6"/>
      <c r="R3" s="29"/>
      <c r="W3" t="s">
        <v>23</v>
      </c>
      <c r="X3">
        <v>88.4</v>
      </c>
      <c r="Y3" s="24">
        <v>83.1</v>
      </c>
    </row>
    <row r="4" spans="1:25">
      <c r="A4" t="s">
        <v>24</v>
      </c>
      <c r="B4">
        <f>基础属性!E2</f>
        <v>1377.4</v>
      </c>
      <c r="D4" s="1">
        <f>B4+G10+D23*0.22+D24*0.9+SUM(K6:V6)</f>
        <v>2111.64341463415</v>
      </c>
      <c r="F4" s="20" t="s">
        <v>25</v>
      </c>
      <c r="J4" t="s">
        <v>26</v>
      </c>
      <c r="K4" s="30"/>
      <c r="R4" s="31"/>
      <c r="W4" t="s">
        <v>26</v>
      </c>
      <c r="X4">
        <v>88.4</v>
      </c>
      <c r="Y4" s="24">
        <v>83.1</v>
      </c>
    </row>
    <row r="5" spans="1:25">
      <c r="A5" t="s">
        <v>27</v>
      </c>
      <c r="B5">
        <f>基础属性!F2</f>
        <v>2565.8</v>
      </c>
      <c r="D5" s="1">
        <f>B5+H10+D23*1.36+D25*0.9+SUM(K7:V7)</f>
        <v>3339.64</v>
      </c>
      <c r="F5" s="20" t="s">
        <v>28</v>
      </c>
      <c r="J5" t="s">
        <v>29</v>
      </c>
      <c r="K5" s="30"/>
      <c r="R5" s="31"/>
      <c r="W5" t="s">
        <v>29</v>
      </c>
      <c r="X5">
        <v>88.4</v>
      </c>
      <c r="Y5" s="24">
        <v>83.1</v>
      </c>
    </row>
    <row r="6" spans="1:25">
      <c r="A6" t="s">
        <v>30</v>
      </c>
      <c r="B6" s="19">
        <f>65%+48.4%</f>
        <v>1.134</v>
      </c>
      <c r="C6" s="19">
        <f>B6+SUM(K8:V8)</f>
        <v>1.254</v>
      </c>
      <c r="D6" s="21">
        <f>65%+(B6-65%+SUM(K8:V8))/B1</f>
        <v>0.865714285714286</v>
      </c>
      <c r="F6" s="20" t="s">
        <v>31</v>
      </c>
      <c r="J6" t="s">
        <v>24</v>
      </c>
      <c r="K6" s="30"/>
      <c r="R6" s="31"/>
      <c r="T6" s="1">
        <f>IF(OR($T$2="燕归",$T$2="撼天",$T$2="连星",$T$2="裁云",$T$2="断岳"),140,0)</f>
        <v>140</v>
      </c>
      <c r="U6" s="1">
        <f>VLOOKUP($F$14,武学天赋!$A:$P,2,FALSE)*MIN(VLOOKUP($G$14,$A$23:$D$25,4,FALSE)/$H$14,1)</f>
        <v>80.2634146341463</v>
      </c>
      <c r="V6">
        <f>VLOOKUP($F$4,心法!$A:$L,2,FALSE)+VLOOKUP($F$5,心法!$A:$L,2,FALSE)+VLOOKUP($F$6,心法!$A:$L,2,FALSE)+VLOOKUP($F$7,心法!$A:$L,2,FALSE)</f>
        <v>173.5</v>
      </c>
      <c r="W6" t="s">
        <v>24</v>
      </c>
      <c r="X6">
        <v>139.6</v>
      </c>
      <c r="Y6" s="32">
        <v>131.22</v>
      </c>
    </row>
    <row r="7" spans="1:25">
      <c r="A7" t="s">
        <v>32</v>
      </c>
      <c r="B7" s="19">
        <v>0.28</v>
      </c>
      <c r="C7" s="19">
        <f>B7+D24*0.076/100+SUM(K9:V9)</f>
        <v>0.818722926829268</v>
      </c>
      <c r="D7" s="21">
        <f>C7/B1</f>
        <v>0.292401045296167</v>
      </c>
      <c r="F7" s="20" t="s">
        <v>33</v>
      </c>
      <c r="J7" t="s">
        <v>27</v>
      </c>
      <c r="K7" s="30"/>
      <c r="R7" s="31"/>
      <c r="T7" s="1">
        <f>IF($T$2="玉斗",140,0)</f>
        <v>0</v>
      </c>
      <c r="U7" s="1">
        <f>VLOOKUP($F$14,武学天赋!$A:$P,3,FALSE)*MIN(VLOOKUP($G$14,$A$23:$D$25,4,FALSE)/$H$14,1)</f>
        <v>0</v>
      </c>
      <c r="V7">
        <f>VLOOKUP($F$4,心法!$A:$L,3,FALSE)+VLOOKUP($F$5,心法!$A:$L,3,FALSE)+VLOOKUP($F$6,心法!$A:$L,3,FALSE)+VLOOKUP($F$7,心法!$A:$L,3,FALSE)</f>
        <v>86.8</v>
      </c>
      <c r="W7" t="s">
        <v>27</v>
      </c>
      <c r="X7">
        <v>139.6</v>
      </c>
      <c r="Y7" s="32">
        <v>131.22</v>
      </c>
    </row>
    <row r="8" spans="1:25">
      <c r="A8" t="s">
        <v>34</v>
      </c>
      <c r="B8" s="19">
        <v>0</v>
      </c>
      <c r="C8" s="21"/>
      <c r="D8" s="19">
        <f>VLOOKUP($F$4,心法!$A:$L,6,FALSE)+VLOOKUP($F$5,心法!$A:$L,6,FALSE)+VLOOKUP($F$6,心法!$A:$L,6,FALSE)+VLOOKUP($F$7,心法!$A:$L,6,FALSE)</f>
        <v>0.133</v>
      </c>
      <c r="J8" t="s">
        <v>30</v>
      </c>
      <c r="K8" s="33"/>
      <c r="L8" s="21"/>
      <c r="M8" s="21"/>
      <c r="N8" s="21"/>
      <c r="O8" s="21"/>
      <c r="P8" s="21"/>
      <c r="Q8" s="21"/>
      <c r="R8" s="34"/>
      <c r="S8" s="19">
        <f>IF($S$2="精准",7.2%,0)</f>
        <v>0</v>
      </c>
      <c r="T8" s="19">
        <f>IF(OR($T$2="时雨",$T$2="烟柳"),14.3%,0)</f>
        <v>0</v>
      </c>
      <c r="U8" s="19"/>
      <c r="V8" s="19">
        <f>VLOOKUP($F$4,心法!$A:$L,4,FALSE)+VLOOKUP($F$5,心法!$A:$L,4,FALSE)+VLOOKUP($F$6,心法!$A:$L,4,FALSE)+VLOOKUP($F$7,心法!$A:$L,4,FALSE)</f>
        <v>0.12</v>
      </c>
      <c r="W8" t="s">
        <v>30</v>
      </c>
      <c r="X8" s="21">
        <v>0.144</v>
      </c>
      <c r="Y8" s="21">
        <v>0.1354</v>
      </c>
    </row>
    <row r="9" spans="1:25">
      <c r="A9" t="s">
        <v>35</v>
      </c>
      <c r="B9" s="19">
        <v>0.5</v>
      </c>
      <c r="C9" s="21"/>
      <c r="D9" s="19">
        <f>B9+VLOOKUP($F$4,心法!$A:$L,11,FALSE)+VLOOKUP($F$5,心法!$A:$L,11,FALSE)+VLOOKUP($F$6,心法!$A:$L,11,FALSE)+VLOOKUP($F$7,心法!$A:$L,11,FALSE)+IF(T2="时雨",10%,0)</f>
        <v>0.54</v>
      </c>
      <c r="F9" t="s">
        <v>36</v>
      </c>
      <c r="G9" s="23" t="s">
        <v>37</v>
      </c>
      <c r="H9" s="35" t="s">
        <v>38</v>
      </c>
      <c r="J9" t="s">
        <v>32</v>
      </c>
      <c r="K9" s="33"/>
      <c r="L9" s="21"/>
      <c r="M9" s="21"/>
      <c r="N9" s="21"/>
      <c r="O9" s="21"/>
      <c r="P9" s="21"/>
      <c r="Q9" s="21"/>
      <c r="R9" s="34"/>
      <c r="S9" s="19">
        <f>IF($S$2="会心",8%,0)</f>
        <v>0.08</v>
      </c>
      <c r="T9" s="19">
        <f>IF($T$2="浣花",16.1%,0)</f>
        <v>0</v>
      </c>
      <c r="U9" s="19">
        <f>VLOOKUP($F$14,武学天赋!$A:$P,4,FALSE)*MIN(VLOOKUP($G$14,$A$23:$D$25,4,FALSE)/$H$14,1)</f>
        <v>0.0926829268292683</v>
      </c>
      <c r="V9" s="19">
        <f>VLOOKUP($F$4,心法!$A:$L,5,FALSE)+VLOOKUP($F$5,心法!$A:$L,5,FALSE)+VLOOKUP($F$6,心法!$A:$L,5,FALSE)+VLOOKUP($F$7,心法!$A:$L,5,FALSE)</f>
        <v>0.135</v>
      </c>
      <c r="W9" t="s">
        <v>32</v>
      </c>
      <c r="X9" s="21">
        <v>0.162</v>
      </c>
      <c r="Y9" s="21">
        <v>0.1523</v>
      </c>
    </row>
    <row r="10" spans="1:25">
      <c r="A10" t="s">
        <v>39</v>
      </c>
      <c r="B10" s="19">
        <v>0.14</v>
      </c>
      <c r="C10" s="19">
        <f>B10+D25*0.038/100+SUM(K10:V10)</f>
        <v>0.25552</v>
      </c>
      <c r="D10" s="21">
        <f>C10/B1</f>
        <v>0.0912571428571429</v>
      </c>
      <c r="F10" t="s">
        <v>40</v>
      </c>
      <c r="G10">
        <f>IF($G$9="通用",186,0)</f>
        <v>0</v>
      </c>
      <c r="H10">
        <f>IF($G$9="通用",373,0)</f>
        <v>0</v>
      </c>
      <c r="J10" t="s">
        <v>39</v>
      </c>
      <c r="K10" s="33"/>
      <c r="L10" s="21"/>
      <c r="M10" s="21"/>
      <c r="N10" s="21"/>
      <c r="O10" s="21"/>
      <c r="P10" s="21"/>
      <c r="Q10" s="21"/>
      <c r="R10" s="34"/>
      <c r="S10" s="19">
        <f>IF($S$2="会意",4%,0)</f>
        <v>0</v>
      </c>
      <c r="T10" s="19">
        <f>IF($T$2="飞隼",8%,0)</f>
        <v>0</v>
      </c>
      <c r="U10" s="19">
        <f>VLOOKUP($F$14,武学天赋!$A:$P,5,FALSE)*MIN(VLOOKUP($G$14,$A$23:$D$25,4,FALSE)/$H$14,1)</f>
        <v>0</v>
      </c>
      <c r="V10" s="19">
        <f>VLOOKUP($F$4,心法!$A:$L,7,FALSE)+VLOOKUP($F$5,心法!$A:$L,7,FALSE)+VLOOKUP($F$6,心法!$A:$L,7,FALSE)+VLOOKUP($F$7,心法!$A:$L,7,FALSE)</f>
        <v>0</v>
      </c>
      <c r="W10" t="s">
        <v>39</v>
      </c>
      <c r="X10" s="21">
        <v>0.081</v>
      </c>
      <c r="Y10" s="21">
        <v>0.0761</v>
      </c>
    </row>
    <row r="11" spans="1:25">
      <c r="A11" t="s">
        <v>41</v>
      </c>
      <c r="B11" s="19">
        <v>0</v>
      </c>
      <c r="C11" s="21"/>
      <c r="D11" s="19">
        <f>VLOOKUP($F$4,心法!$A:$L,8,FALSE)+VLOOKUP($F$5,心法!$A:$L,8,FALSE)+VLOOKUP($F$6,心法!$A:$L,8,FALSE)+VLOOKUP($F$7,心法!$A:$L,8,FALSE)</f>
        <v>0</v>
      </c>
      <c r="F11" t="s">
        <v>37</v>
      </c>
      <c r="G11">
        <f>IF($G$9="本系",211,0)</f>
        <v>211</v>
      </c>
      <c r="H11">
        <f>IF($G$9="本系",423,0)</f>
        <v>423</v>
      </c>
      <c r="J11" t="s">
        <v>42</v>
      </c>
      <c r="K11" s="30"/>
      <c r="R11" s="31"/>
      <c r="V11">
        <f>VLOOKUP($F$4,心法!$A:$ZZ,13,FALSE)+VLOOKUP($F$5,心法!$A:$ZZ,13,FALSE)+VLOOKUP($F$6,心法!$A:$ZZ,13,FALSE)+VLOOKUP($F$7,心法!$A:$ZZ,13,FALSE)</f>
        <v>0</v>
      </c>
      <c r="W11" t="s">
        <v>42</v>
      </c>
      <c r="X11">
        <v>79.2</v>
      </c>
      <c r="Y11" s="24">
        <v>74.45</v>
      </c>
    </row>
    <row r="12" spans="1:25">
      <c r="A12" t="s">
        <v>43</v>
      </c>
      <c r="B12" s="19">
        <v>0.35</v>
      </c>
      <c r="C12" s="21"/>
      <c r="D12" s="19">
        <f>B12+VLOOKUP($F$4,心法!$A:$L,12,FALSE)+VLOOKUP($F$5,心法!$A:$L,12,FALSE)+VLOOKUP($F$6,心法!$A:$L,12,FALSE)+VLOOKUP($F$7,心法!$A:$L,12,FALSE)</f>
        <v>0.35</v>
      </c>
      <c r="J12" t="s">
        <v>44</v>
      </c>
      <c r="K12" s="30"/>
      <c r="R12" s="31"/>
      <c r="V12">
        <f>VLOOKUP($F$4,心法!$A:$ZZ,14,FALSE)+VLOOKUP($F$5,心法!$A:$ZZ,14,FALSE)+VLOOKUP($F$6,心法!$A:$ZZ,14,FALSE)+VLOOKUP($F$7,心法!$A:$ZZ,14,FALSE)</f>
        <v>0</v>
      </c>
      <c r="W12" t="s">
        <v>44</v>
      </c>
      <c r="X12">
        <v>79.2</v>
      </c>
      <c r="Y12" s="24">
        <v>74.45</v>
      </c>
    </row>
    <row r="13" spans="1:25">
      <c r="A13" t="s">
        <v>42</v>
      </c>
      <c r="B13">
        <f>VLOOKUP($F$14,武学天赋!$A:$P,8,FALSE)+IF(VLOOKUP($F$14,武学天赋!$A:$P,7,FALSE)="鸣金",$G$11,0)</f>
        <v>0</v>
      </c>
      <c r="D13" s="1">
        <f>B13+SUM(K11:V11)</f>
        <v>0</v>
      </c>
      <c r="F13" s="15" t="s">
        <v>45</v>
      </c>
      <c r="G13" s="15" t="s">
        <v>46</v>
      </c>
      <c r="H13" s="15" t="s">
        <v>47</v>
      </c>
      <c r="J13" t="s">
        <v>48</v>
      </c>
      <c r="K13" s="30"/>
      <c r="R13" s="31"/>
      <c r="V13">
        <f>VLOOKUP($F$4,心法!$A:$ZZ,17,FALSE)+VLOOKUP($F$5,心法!$A:$ZZ,17,FALSE)+VLOOKUP($F$6,心法!$A:$ZZ,17,FALSE)+VLOOKUP($F$7,心法!$A:$ZZ,17,FALSE)</f>
        <v>0</v>
      </c>
      <c r="W13" t="s">
        <v>48</v>
      </c>
      <c r="X13">
        <v>79.2</v>
      </c>
      <c r="Y13" s="24">
        <v>74.45</v>
      </c>
    </row>
    <row r="14" spans="1:25">
      <c r="A14" t="s">
        <v>44</v>
      </c>
      <c r="B14">
        <f>VLOOKUP($F$14,武学天赋!$A:$P,9,FALSE)+IF(VLOOKUP($F$14,武学天赋!$A:$P,7,FALSE)="鸣金",$H$11,0)</f>
        <v>0</v>
      </c>
      <c r="D14" s="1">
        <f t="shared" ref="D14:D22" si="0">B14+SUM(K12:V12)</f>
        <v>0</v>
      </c>
      <c r="F14" s="27" t="s">
        <v>49</v>
      </c>
      <c r="G14" s="15" t="str">
        <f>VLOOKUP($F$14,武学天赋!$A:$P,6,FALSE)</f>
        <v>敏</v>
      </c>
      <c r="H14" s="15">
        <v>492</v>
      </c>
      <c r="J14" t="s">
        <v>50</v>
      </c>
      <c r="K14" s="30"/>
      <c r="R14" s="31"/>
      <c r="V14">
        <f>VLOOKUP($F$4,心法!$A:$ZZ,18,FALSE)+VLOOKUP($F$5,心法!$A:$ZZ,18,FALSE)+VLOOKUP($F$6,心法!$A:$ZZ,18,FALSE)+VLOOKUP($F$7,心法!$A:$ZZ,18,FALSE)</f>
        <v>0</v>
      </c>
      <c r="W14" t="s">
        <v>50</v>
      </c>
      <c r="X14">
        <v>79.2</v>
      </c>
      <c r="Y14" s="24">
        <v>74.45</v>
      </c>
    </row>
    <row r="15" spans="1:25">
      <c r="A15" t="s">
        <v>48</v>
      </c>
      <c r="B15">
        <f>VLOOKUP($F$14,武学天赋!$A:$P,10,FALSE)+IF(VLOOKUP($F$14,武学天赋!$A:$P,7,FALSE)="裂石",$G$11,0)</f>
        <v>0</v>
      </c>
      <c r="D15" s="1">
        <f t="shared" si="0"/>
        <v>0</v>
      </c>
      <c r="J15" t="s">
        <v>51</v>
      </c>
      <c r="K15" s="30"/>
      <c r="R15" s="31"/>
      <c r="V15">
        <f>VLOOKUP($F$4,心法!$A:$ZZ,21,FALSE)+VLOOKUP($F$5,心法!$A:$ZZ,21,FALSE)+VLOOKUP($F$6,心法!$A:$ZZ,21,FALSE)+VLOOKUP($F$7,心法!$A:$ZZ,21,FALSE)</f>
        <v>0</v>
      </c>
      <c r="W15" t="s">
        <v>51</v>
      </c>
      <c r="X15">
        <v>79.2</v>
      </c>
      <c r="Y15" s="24">
        <v>74.45</v>
      </c>
    </row>
    <row r="16" spans="1:25">
      <c r="A16" t="s">
        <v>50</v>
      </c>
      <c r="B16">
        <f>VLOOKUP($F$14,武学天赋!$A:$P,11,FALSE)+IF(VLOOKUP($F$14,武学天赋!$A:$P,7,FALSE)="裂石",$H$11,0)</f>
        <v>0</v>
      </c>
      <c r="D16" s="1">
        <f t="shared" si="0"/>
        <v>0</v>
      </c>
      <c r="J16" t="s">
        <v>52</v>
      </c>
      <c r="K16" s="30"/>
      <c r="R16" s="31"/>
      <c r="V16">
        <f>VLOOKUP($F$4,心法!$A:$ZZ,22,FALSE)+VLOOKUP($F$5,心法!$A:$ZZ,22,FALSE)+VLOOKUP($F$6,心法!$A:$ZZ,22,FALSE)+VLOOKUP($F$7,心法!$A:$ZZ,22,FALSE)</f>
        <v>0</v>
      </c>
      <c r="W16" t="s">
        <v>52</v>
      </c>
      <c r="X16">
        <v>79.2</v>
      </c>
      <c r="Y16" s="24">
        <v>74.45</v>
      </c>
    </row>
    <row r="17" spans="1:25">
      <c r="A17" t="s">
        <v>51</v>
      </c>
      <c r="B17">
        <f>VLOOKUP($F$14,武学天赋!$A:$P,12,FALSE)+IF(VLOOKUP($F$14,武学天赋!$A:$P,7,FALSE)="牵丝",$G$11,0)</f>
        <v>0</v>
      </c>
      <c r="D17" s="1">
        <f t="shared" si="0"/>
        <v>0</v>
      </c>
      <c r="F17" t="s">
        <v>53</v>
      </c>
      <c r="G17">
        <v>447</v>
      </c>
      <c r="J17" t="s">
        <v>54</v>
      </c>
      <c r="K17" s="30"/>
      <c r="R17" s="31"/>
      <c r="V17">
        <f>VLOOKUP($F$4,心法!$A:$ZZ,25,FALSE)+VLOOKUP($F$5,心法!$A:$ZZ,25,FALSE)+VLOOKUP($F$6,心法!$A:$ZZ,25,FALSE)+VLOOKUP($F$7,心法!$A:$ZZ,25,FALSE)</f>
        <v>0</v>
      </c>
      <c r="W17" t="s">
        <v>54</v>
      </c>
      <c r="X17">
        <v>79.2</v>
      </c>
      <c r="Y17" s="24">
        <v>74.45</v>
      </c>
    </row>
    <row r="18" spans="1:25">
      <c r="A18" t="s">
        <v>52</v>
      </c>
      <c r="B18">
        <f>VLOOKUP($F$14,武学天赋!$A:$P,13,FALSE)+IF(VLOOKUP($F$14,武学天赋!$A:$P,7,FALSE)="牵丝",$H$11,0)</f>
        <v>0</v>
      </c>
      <c r="D18" s="1">
        <f t="shared" si="0"/>
        <v>0</v>
      </c>
      <c r="G18">
        <v>893</v>
      </c>
      <c r="J18" t="s">
        <v>55</v>
      </c>
      <c r="K18" s="30"/>
      <c r="R18" s="31"/>
      <c r="V18">
        <f>VLOOKUP($F$4,心法!$A:$ZZ,26,FALSE)+VLOOKUP($F$5,心法!$A:$ZZ,26,FALSE)+VLOOKUP($F$6,心法!$A:$ZZ,26,FALSE)+VLOOKUP($F$7,心法!$A:$ZZ,26,FALSE)</f>
        <v>0</v>
      </c>
      <c r="W18" t="s">
        <v>55</v>
      </c>
      <c r="X18">
        <v>79.2</v>
      </c>
      <c r="Y18" s="24">
        <v>74.45</v>
      </c>
    </row>
    <row r="19" spans="1:25">
      <c r="A19" t="s">
        <v>54</v>
      </c>
      <c r="B19">
        <f>VLOOKUP($F$14,武学天赋!$A:$P,14,FALSE)+IF(VLOOKUP($F$14,武学天赋!$A:$P,7,FALSE)="破竹",$G$11,0)</f>
        <v>539</v>
      </c>
      <c r="D19" s="1">
        <f t="shared" si="0"/>
        <v>539</v>
      </c>
      <c r="J19" t="s">
        <v>56</v>
      </c>
      <c r="K19" s="30"/>
      <c r="R19" s="31"/>
      <c r="V19">
        <f>VLOOKUP($F$4,心法!$A:$ZZ,29,FALSE)+VLOOKUP($F$5,心法!$A:$ZZ,29,FALSE)+VLOOKUP($F$6,心法!$A:$ZZ,30,FALSE)+VLOOKUP($F$7,心法!$A:$ZZ,29,FALSE)</f>
        <v>0</v>
      </c>
      <c r="W19" t="s">
        <v>56</v>
      </c>
      <c r="X19">
        <v>79.2</v>
      </c>
      <c r="Y19" s="24">
        <v>74.45</v>
      </c>
    </row>
    <row r="20" spans="1:25">
      <c r="A20" t="s">
        <v>55</v>
      </c>
      <c r="B20">
        <f>VLOOKUP($F$14,武学天赋!$A:$P,15,FALSE)+IF(VLOOKUP($F$14,武学天赋!$A:$P,7,FALSE)="破竹",$H$11,0)</f>
        <v>1079</v>
      </c>
      <c r="D20" s="1">
        <f t="shared" si="0"/>
        <v>1079</v>
      </c>
      <c r="J20" t="s">
        <v>57</v>
      </c>
      <c r="K20" s="30"/>
      <c r="R20" s="31"/>
      <c r="V20">
        <f>VLOOKUP($F$4,心法!$A:$ZZ,30,FALSE)+VLOOKUP($F$5,心法!$A:$ZZ,30,FALSE)+VLOOKUP($F$6,心法!$A:$ZZ,30,FALSE)+VLOOKUP($F$7,心法!$A:$ZZ,30,FALSE)</f>
        <v>0</v>
      </c>
      <c r="W20" t="s">
        <v>57</v>
      </c>
      <c r="X20">
        <v>79.2</v>
      </c>
      <c r="Y20" s="24">
        <v>74.45</v>
      </c>
    </row>
    <row r="21" ht="14.25" spans="1:25">
      <c r="A21" t="s">
        <v>56</v>
      </c>
      <c r="B21">
        <v>79.2</v>
      </c>
      <c r="D21" s="1">
        <f t="shared" si="0"/>
        <v>79.2</v>
      </c>
      <c r="J21" t="s">
        <v>58</v>
      </c>
      <c r="K21" s="36"/>
      <c r="L21" s="21"/>
      <c r="M21" s="21"/>
      <c r="N21" s="21"/>
      <c r="O21" s="21"/>
      <c r="P21" s="21"/>
      <c r="Q21" s="21"/>
      <c r="R21" s="34"/>
      <c r="S21" s="19"/>
      <c r="T21" s="19"/>
      <c r="U21" s="19"/>
      <c r="V21" s="19"/>
      <c r="W21" t="s">
        <v>58</v>
      </c>
      <c r="X21" s="21">
        <v>0.113</v>
      </c>
      <c r="Y21" s="21">
        <v>0.1062</v>
      </c>
    </row>
    <row r="22" spans="1:25">
      <c r="A22" t="s">
        <v>57</v>
      </c>
      <c r="B22">
        <v>92.4</v>
      </c>
      <c r="D22" s="1">
        <f t="shared" si="0"/>
        <v>92.4</v>
      </c>
      <c r="F22" s="37" t="s">
        <v>59</v>
      </c>
      <c r="G22" s="38"/>
      <c r="H22" s="38"/>
      <c r="I22" s="39"/>
      <c r="J22" t="s">
        <v>60</v>
      </c>
      <c r="K22" s="33"/>
      <c r="L22" s="21"/>
      <c r="M22" s="21"/>
      <c r="N22" s="21"/>
      <c r="O22" s="40"/>
      <c r="P22" s="40"/>
      <c r="Q22" s="21"/>
      <c r="R22" s="34"/>
      <c r="S22" s="19"/>
      <c r="T22" s="19"/>
      <c r="U22" s="19"/>
      <c r="V22" s="19"/>
      <c r="W22" t="s">
        <v>60</v>
      </c>
      <c r="X22" s="41">
        <v>0.177</v>
      </c>
      <c r="Y22" s="21">
        <v>0.1664</v>
      </c>
    </row>
    <row r="23" spans="1:25">
      <c r="A23" t="s">
        <v>23</v>
      </c>
      <c r="B23">
        <v>304</v>
      </c>
      <c r="D23" s="1">
        <f>B23+SUM(K3:R3)</f>
        <v>304</v>
      </c>
      <c r="F23" s="42"/>
      <c r="G23" s="43"/>
      <c r="H23" s="43"/>
      <c r="I23" s="44"/>
      <c r="J23" t="s">
        <v>61</v>
      </c>
      <c r="K23" s="33"/>
      <c r="L23" s="21"/>
      <c r="M23" s="21"/>
      <c r="N23" s="21"/>
      <c r="O23" s="21"/>
      <c r="P23" s="21"/>
      <c r="Q23" s="40"/>
      <c r="R23" s="45"/>
      <c r="S23" s="19"/>
      <c r="T23" s="19"/>
      <c r="U23" s="19"/>
      <c r="V23" s="19"/>
      <c r="W23" t="s">
        <v>61</v>
      </c>
      <c r="X23" s="22">
        <v>0.059</v>
      </c>
      <c r="Y23" s="21">
        <v>0.0555</v>
      </c>
    </row>
    <row r="24" ht="14.25" spans="1:25">
      <c r="A24" t="s">
        <v>26</v>
      </c>
      <c r="B24">
        <v>304</v>
      </c>
      <c r="D24" s="1">
        <f>B24+SUM(K4:R4)</f>
        <v>304</v>
      </c>
      <c r="F24" s="42"/>
      <c r="G24" s="43"/>
      <c r="H24" s="43"/>
      <c r="I24" s="44"/>
      <c r="J24" t="s">
        <v>62</v>
      </c>
      <c r="K24" s="46"/>
      <c r="L24" s="47"/>
      <c r="M24" s="48"/>
      <c r="N24" s="48"/>
      <c r="O24" s="47"/>
      <c r="P24" s="47"/>
      <c r="Q24" s="47"/>
      <c r="R24" s="49"/>
      <c r="S24" s="19"/>
      <c r="T24" s="19"/>
      <c r="U24" s="19"/>
      <c r="V24" s="19"/>
      <c r="W24" t="s">
        <v>62</v>
      </c>
      <c r="X24" s="22">
        <v>0.056</v>
      </c>
      <c r="Y24" s="21">
        <v>0.0526</v>
      </c>
    </row>
    <row r="25" spans="1:25">
      <c r="A25" t="s">
        <v>29</v>
      </c>
      <c r="B25">
        <v>304</v>
      </c>
      <c r="D25" s="1">
        <f>B25+SUM(K5:R5)</f>
        <v>304</v>
      </c>
      <c r="F25" s="42"/>
      <c r="G25" s="43"/>
      <c r="H25" s="43"/>
      <c r="I25" s="44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X25" s="21"/>
    </row>
    <row r="26" spans="1:25">
      <c r="A26" t="s">
        <v>63</v>
      </c>
      <c r="B26">
        <v>77.6</v>
      </c>
      <c r="D26" s="1">
        <f>B26/$D$1+VLOOKUP($F$4,心法!$A:$L,9,FALSE)+VLOOKUP($F$5,心法!$A:$L,9,FALSE)+VLOOKUP($F$6,心法!$A:$L,9,FALSE)+VLOOKUP($F$7,心法!$A:$L,9,FALSE)</f>
        <v>58.6767485822306</v>
      </c>
      <c r="F26" s="42"/>
      <c r="G26" s="43"/>
      <c r="H26" s="43"/>
      <c r="I26" s="44"/>
      <c r="X26" s="21"/>
    </row>
    <row r="27" spans="1:25">
      <c r="A27" t="s">
        <v>64</v>
      </c>
      <c r="B27">
        <v>0</v>
      </c>
      <c r="C27" s="21"/>
      <c r="D27" s="19">
        <f>VLOOKUP($F$4,心法!$A:$L,10,FALSE)+VLOOKUP($F$5,心法!$A:$L,10,FALSE)+VLOOKUP($F$6,心法!$A:$L,10,FALSE)+VLOOKUP($F$7,心法!$A:$L,10,FALSE)</f>
        <v>0</v>
      </c>
      <c r="F27" s="42"/>
      <c r="G27" s="43"/>
      <c r="H27" s="43"/>
      <c r="I27" s="44"/>
    </row>
    <row r="28" spans="1:25">
      <c r="A28" t="s">
        <v>65</v>
      </c>
      <c r="B28" s="50">
        <f>IF(VLOOKUP($F$14,武学天赋!$A:$P,7,FALSE)="鸣金",30,0)</f>
        <v>0</v>
      </c>
      <c r="D28" s="1">
        <f>B28*MIN(D14/G18,1)+VLOOKUP($F$4,心法!$A:$ZZ,15,FALSE)+VLOOKUP($F$5,心法!$A:$ZZ,15,FALSE)+VLOOKUP($F$6,心法!$A:$ZZ,15,FALSE)+VLOOKUP($F$7,心法!$A:$ZZ,15,FALSE)</f>
        <v>0</v>
      </c>
      <c r="F28" s="42"/>
      <c r="G28" s="43"/>
      <c r="H28" s="43"/>
      <c r="I28" s="44"/>
    </row>
    <row r="29" spans="1:25">
      <c r="A29" t="s">
        <v>66</v>
      </c>
      <c r="B29" s="19">
        <f>IF(VLOOKUP($F$14,武学天赋!$A:$P,7,FALSE)="鸣金",15%,0)</f>
        <v>0</v>
      </c>
      <c r="C29" s="21"/>
      <c r="D29" s="19">
        <f>B29*MIN(D14/G18,1)+VLOOKUP($F$4,心法!$A:$ZZ,16,FALSE)+VLOOKUP($F$5,心法!$A:$ZZ,16,FALSE)+VLOOKUP($F$6,心法!$A:$ZZ,16,FALSE)+VLOOKUP($F$7,心法!$A:$ZZ,16,FALSE)</f>
        <v>0</v>
      </c>
      <c r="F29" s="42"/>
      <c r="G29" s="43"/>
      <c r="H29" s="43"/>
      <c r="I29" s="44"/>
    </row>
    <row r="30" ht="14.25" spans="1:25">
      <c r="A30" t="s">
        <v>67</v>
      </c>
      <c r="B30" s="50">
        <f>IF(VLOOKUP($F$14,武学天赋!$A:$P,7,FALSE)="裂石",30,0)</f>
        <v>0</v>
      </c>
      <c r="D30" s="1">
        <f>B30*MIN(D15/G17,1)+VLOOKUP($F$4,心法!$A:$ZZ,19,FALSE)+VLOOKUP($F$5,心法!$A:$ZZ,19,FALSE)+VLOOKUP($F$6,心法!$A:$ZZ,19,FALSE)+VLOOKUP($F$7,心法!$A:$ZZ,19,FALSE)</f>
        <v>0</v>
      </c>
      <c r="F30" s="51"/>
      <c r="G30" s="52"/>
      <c r="H30" s="52"/>
      <c r="I30" s="53"/>
      <c r="X30" s="21"/>
    </row>
    <row r="31" spans="1:25">
      <c r="A31" t="s">
        <v>68</v>
      </c>
      <c r="B31" s="19">
        <f>IF(VLOOKUP($F$14,武学天赋!$A:$P,7,FALSE)="裂石",15%,0)</f>
        <v>0</v>
      </c>
      <c r="C31" s="21"/>
      <c r="D31" s="19">
        <f>B31*MIN(D15/G17,1)+VLOOKUP($F$4,心法!$A:$ZZ,20,FALSE)+VLOOKUP($F$5,心法!$A:$ZZ,20,FALSE)+VLOOKUP($F$6,心法!$A:$ZZ,20,FALSE)+VLOOKUP($F$7,心法!$A:$ZZ,20,FALSE)</f>
        <v>0</v>
      </c>
    </row>
    <row r="32" spans="1:25">
      <c r="A32" t="s">
        <v>69</v>
      </c>
      <c r="B32" s="50">
        <f>IF(VLOOKUP($F$14,武学天赋!$A:$P,7,FALSE)="牵丝",30,0)</f>
        <v>0</v>
      </c>
      <c r="D32" s="1">
        <f>B32*MIN(D17/G17,1)+VLOOKUP($F$4,心法!$A:$ZZ,23,FALSE)+VLOOKUP($F$5,心法!$A:$ZZ,23,FALSE)+VLOOKUP($F$6,心法!$A:$ZZ,23,FALSE)+VLOOKUP($F$7,心法!$A:$ZZ,23,FALSE)</f>
        <v>0</v>
      </c>
    </row>
    <row r="33" spans="1:4">
      <c r="A33" t="s">
        <v>70</v>
      </c>
      <c r="B33" s="19">
        <f>IF(VLOOKUP($F$14,武学天赋!$A:$P,7,FALSE)="牵丝",15%,0)</f>
        <v>0</v>
      </c>
      <c r="C33" s="21"/>
      <c r="D33" s="19">
        <f>B33*MIN(D17/G17,1)+VLOOKUP($F$4,心法!$A:$ZZ,24,FALSE)+VLOOKUP($F$5,心法!$A:$ZZ,24,FALSE)+VLOOKUP($F$6,心法!$A:$ZZ,24,FALSE)+VLOOKUP($F$7,心法!$A:$ZZ,24,FALSE)</f>
        <v>0</v>
      </c>
    </row>
    <row r="34" spans="1:4">
      <c r="A34" t="s">
        <v>71</v>
      </c>
      <c r="B34" s="50">
        <f>IF(VLOOKUP($F$14,武学天赋!$A:$P,7,FALSE)="破竹",30,0)</f>
        <v>30</v>
      </c>
      <c r="D34" s="1">
        <f>ROUNDUP(B34*MIN(D19/G17,1)+VLOOKUP($F$4,心法!$A:$ZZ,25,FALSE)+VLOOKUP($F$5,心法!$A:$ZZ,25,FALSE)+VLOOKUP($F$6,心法!$A:$ZZ,25,FALSE)+VLOOKUP($F$7,心法!$A:$ZZ,25,FALSE),1)</f>
        <v>30</v>
      </c>
    </row>
    <row r="35" spans="1:4">
      <c r="A35" t="s">
        <v>72</v>
      </c>
      <c r="B35" s="19">
        <f>IF(VLOOKUP($F$14,武学天赋!$A:$P,7,FALSE)="破竹",15%,0)</f>
        <v>0.15</v>
      </c>
      <c r="C35" s="21"/>
      <c r="D35" s="19">
        <f>B35*MIN(D19/G17,1)+VLOOKUP($F$4,心法!$A:$ZZ,28,FALSE)+VLOOKUP($F$5,心法!$A:$ZZ,28,FALSE)+VLOOKUP($F$6,心法!$A:$ZZ,28,FALSE)+VLOOKUP($F$7,心法!$A:$ZZ,28,FALSE)</f>
        <v>0.15</v>
      </c>
    </row>
    <row r="36" spans="1:4">
      <c r="A36" t="s">
        <v>73</v>
      </c>
      <c r="D36" s="1">
        <f>VLOOKUP($F$4,心法!$A:$ZZ,31,FALSE)+VLOOKUP($F$5,心法!$A:$ZZ,31,FALSE)+VLOOKUP($F$6,心法!$A:$ZZ,31,FALSE)+VLOOKUP($F$7,心法!$A:$ZZ,31,FALSE)</f>
        <v>0</v>
      </c>
    </row>
    <row r="37" spans="1:4">
      <c r="A37" t="s">
        <v>58</v>
      </c>
      <c r="D37" s="21">
        <f>SUM(K21:V21)/$D$1</f>
        <v>0</v>
      </c>
    </row>
    <row r="38" spans="1:4">
      <c r="A38" t="s">
        <v>60</v>
      </c>
      <c r="D38" s="21">
        <f>SUM(K22:V22)/$D$1</f>
        <v>0</v>
      </c>
    </row>
    <row r="39" spans="1:4">
      <c r="A39" t="s">
        <v>61</v>
      </c>
      <c r="D39" s="21">
        <f>SUM(K23:V23)/$D$1</f>
        <v>0</v>
      </c>
    </row>
    <row r="40" spans="1:4">
      <c r="A40" t="s">
        <v>62</v>
      </c>
      <c r="D40" s="21">
        <f>SUM(K24:V24)/$D$1</f>
        <v>0</v>
      </c>
    </row>
  </sheetData>
  <mergeCells count="2">
    <mergeCell ref="W1:Y1"/>
    <mergeCell ref="F22:I30"/>
  </mergeCells>
  <dataValidations count="5">
    <dataValidation type="list" allowBlank="1" showInputMessage="1" showErrorMessage="1" sqref="S2">
      <formula1>"精准,会心,会意"</formula1>
    </dataValidation>
    <dataValidation type="list" allowBlank="1" showInputMessage="1" showErrorMessage="1" sqref="T2">
      <formula1>"飞隼,时雨,撼天,连星,玉斗,裁云,断岳,燕归,烟柳,浣花"</formula1>
    </dataValidation>
    <dataValidation type="list" allowBlank="1" showInputMessage="1" showErrorMessage="1" sqref="G9">
      <formula1>"通用,本系"</formula1>
    </dataValidation>
    <dataValidation type="list" allowBlank="1" showInputMessage="1" showErrorMessage="1" sqref="F14">
      <formula1>武学天赋!$A:$A</formula1>
    </dataValidation>
    <dataValidation type="list" allowBlank="1" showInputMessage="1" showErrorMessage="1" sqref="F4:F7">
      <formula1>心法!$A:$A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40"/>
  <sheetViews>
    <sheetView workbookViewId="0">
      <selection activeCell="P37" sqref="O37:P37"/>
    </sheetView>
  </sheetViews>
  <sheetFormatPr defaultColWidth="9" defaultRowHeight="13.5"/>
  <cols>
    <col min="5" max="6" width="9" style="19"/>
    <col min="11" max="11" width="9" style="19"/>
  </cols>
  <sheetData>
    <row r="1" spans="1:31">
      <c r="B1" t="s">
        <v>74</v>
      </c>
      <c r="C1" t="s">
        <v>75</v>
      </c>
      <c r="D1" t="s">
        <v>76</v>
      </c>
      <c r="E1" s="19" t="s">
        <v>16</v>
      </c>
      <c r="F1" s="19" t="s">
        <v>34</v>
      </c>
      <c r="G1" t="s">
        <v>77</v>
      </c>
      <c r="H1" t="s">
        <v>41</v>
      </c>
      <c r="I1" t="s">
        <v>78</v>
      </c>
      <c r="J1" t="s">
        <v>79</v>
      </c>
      <c r="K1" s="19" t="s">
        <v>80</v>
      </c>
      <c r="L1" t="s">
        <v>81</v>
      </c>
      <c r="M1" t="s">
        <v>42</v>
      </c>
      <c r="N1" t="s">
        <v>44</v>
      </c>
      <c r="O1" t="s">
        <v>65</v>
      </c>
      <c r="P1" t="s">
        <v>66</v>
      </c>
      <c r="Q1" t="s">
        <v>48</v>
      </c>
      <c r="R1" t="s">
        <v>50</v>
      </c>
      <c r="S1" t="s">
        <v>67</v>
      </c>
      <c r="T1" t="s">
        <v>68</v>
      </c>
      <c r="U1" t="s">
        <v>51</v>
      </c>
      <c r="V1" t="s">
        <v>52</v>
      </c>
      <c r="W1" t="s">
        <v>69</v>
      </c>
      <c r="X1" t="s">
        <v>70</v>
      </c>
      <c r="Y1" t="s">
        <v>54</v>
      </c>
      <c r="Z1" t="s">
        <v>55</v>
      </c>
      <c r="AA1" t="s">
        <v>71</v>
      </c>
      <c r="AB1" t="s">
        <v>72</v>
      </c>
      <c r="AC1" t="s">
        <v>56</v>
      </c>
      <c r="AD1" t="s">
        <v>57</v>
      </c>
      <c r="AE1" t="s">
        <v>73</v>
      </c>
    </row>
    <row r="2" spans="1:31">
      <c r="A2" t="s">
        <v>82</v>
      </c>
    </row>
    <row r="3" spans="1:31">
      <c r="A3" s="20" t="s">
        <v>83</v>
      </c>
      <c r="E3" s="19">
        <v>0.15</v>
      </c>
      <c r="J3" s="21">
        <v>0.028</v>
      </c>
    </row>
    <row r="4" spans="1:31">
      <c r="A4" s="20" t="s">
        <v>28</v>
      </c>
      <c r="B4">
        <v>43.4</v>
      </c>
      <c r="C4">
        <v>86.8</v>
      </c>
      <c r="F4" s="19">
        <v>0.046</v>
      </c>
    </row>
    <row r="5" spans="1:31">
      <c r="A5" s="20" t="s">
        <v>84</v>
      </c>
      <c r="B5">
        <v>117.1</v>
      </c>
      <c r="I5">
        <v>5.1</v>
      </c>
    </row>
    <row r="6" spans="1:31">
      <c r="A6" s="20" t="s">
        <v>33</v>
      </c>
      <c r="D6" s="22">
        <v>0.12</v>
      </c>
      <c r="F6" s="19">
        <v>0.041</v>
      </c>
    </row>
    <row r="7" spans="1:31">
      <c r="A7" s="20" t="s">
        <v>85</v>
      </c>
      <c r="B7">
        <v>117.1</v>
      </c>
      <c r="D7" s="23"/>
      <c r="I7">
        <v>5.1</v>
      </c>
    </row>
    <row r="8" spans="1:31">
      <c r="A8" s="20" t="s">
        <v>86</v>
      </c>
      <c r="D8" s="22">
        <v>0.12</v>
      </c>
      <c r="J8" s="21"/>
      <c r="K8" s="19">
        <v>0.04</v>
      </c>
    </row>
    <row r="9" spans="1:31">
      <c r="A9" s="20" t="s">
        <v>87</v>
      </c>
      <c r="C9">
        <v>104.1</v>
      </c>
      <c r="D9" s="23"/>
      <c r="K9" s="19">
        <v>0.035</v>
      </c>
    </row>
    <row r="10" spans="1:31">
      <c r="A10" s="20" t="s">
        <v>88</v>
      </c>
      <c r="B10">
        <v>117.1</v>
      </c>
      <c r="D10" s="23"/>
      <c r="I10">
        <v>5.1</v>
      </c>
    </row>
    <row r="11" spans="1:31">
      <c r="A11" s="20" t="s">
        <v>89</v>
      </c>
      <c r="D11" s="23"/>
      <c r="E11" s="19">
        <v>0.15</v>
      </c>
      <c r="K11" s="19">
        <v>0.044</v>
      </c>
    </row>
    <row r="12" spans="1:31">
      <c r="A12" s="20" t="s">
        <v>90</v>
      </c>
      <c r="E12" s="19">
        <v>0.15</v>
      </c>
      <c r="F12" s="19">
        <v>0.046</v>
      </c>
    </row>
    <row r="13" spans="1:31">
      <c r="A13" s="20" t="s">
        <v>91</v>
      </c>
      <c r="C13">
        <v>130.1</v>
      </c>
      <c r="D13" s="23"/>
      <c r="H13" s="21">
        <v>0.023</v>
      </c>
    </row>
    <row r="14" spans="1:31">
      <c r="A14" s="20" t="s">
        <v>92</v>
      </c>
      <c r="B14">
        <v>39</v>
      </c>
      <c r="C14">
        <v>78</v>
      </c>
      <c r="D14" s="23"/>
      <c r="I14">
        <v>5.1</v>
      </c>
    </row>
    <row r="15" spans="1:31">
      <c r="A15" s="20" t="s">
        <v>93</v>
      </c>
      <c r="D15" s="22">
        <v>0.12</v>
      </c>
      <c r="J15" s="21">
        <v>0.025</v>
      </c>
    </row>
    <row r="16" spans="1:31">
      <c r="A16" s="20" t="s">
        <v>94</v>
      </c>
      <c r="E16" s="19">
        <v>0.15</v>
      </c>
      <c r="K16" s="19">
        <v>0.044</v>
      </c>
    </row>
    <row r="17" spans="1:19">
      <c r="A17" s="20" t="s">
        <v>95</v>
      </c>
      <c r="G17" s="21">
        <v>0.067</v>
      </c>
      <c r="L17" s="21">
        <v>0.052</v>
      </c>
    </row>
    <row r="18" customFormat="1" spans="1:19">
      <c r="A18" s="20" t="s">
        <v>96</v>
      </c>
      <c r="C18">
        <v>121.3</v>
      </c>
      <c r="E18" s="19"/>
      <c r="F18" s="19"/>
      <c r="H18" s="21">
        <v>0.023</v>
      </c>
    </row>
    <row r="19" spans="1:19">
      <c r="A19" s="20" t="s">
        <v>97</v>
      </c>
      <c r="M19">
        <v>22.1</v>
      </c>
      <c r="N19">
        <v>44.3</v>
      </c>
      <c r="O19">
        <v>6</v>
      </c>
    </row>
    <row r="20" spans="1:19">
      <c r="A20" s="20" t="s">
        <v>98</v>
      </c>
      <c r="G20" s="21">
        <v>0.067</v>
      </c>
      <c r="L20" s="21">
        <v>0.052</v>
      </c>
    </row>
    <row r="21" spans="1:19">
      <c r="A21" s="20" t="s">
        <v>99</v>
      </c>
      <c r="B21">
        <v>39</v>
      </c>
      <c r="C21">
        <v>78</v>
      </c>
      <c r="I21">
        <v>5.1</v>
      </c>
    </row>
    <row r="22" customFormat="1" spans="1:19">
      <c r="A22" s="20" t="s">
        <v>100</v>
      </c>
      <c r="B22">
        <v>39</v>
      </c>
      <c r="C22">
        <v>78</v>
      </c>
      <c r="E22" s="19"/>
      <c r="F22" s="19"/>
      <c r="J22" s="21">
        <v>0.025</v>
      </c>
      <c r="K22" s="19"/>
    </row>
    <row r="23" spans="1:19">
      <c r="A23" s="20" t="s">
        <v>101</v>
      </c>
      <c r="B23">
        <v>130.1</v>
      </c>
      <c r="F23" s="19">
        <v>0.046</v>
      </c>
    </row>
    <row r="24" spans="1:19">
      <c r="A24" s="20" t="s">
        <v>102</v>
      </c>
      <c r="E24" s="19">
        <v>0.135</v>
      </c>
      <c r="K24" s="19">
        <v>0.04</v>
      </c>
    </row>
    <row r="25" spans="1:19">
      <c r="A25" s="20" t="s">
        <v>103</v>
      </c>
      <c r="Q25">
        <v>22.1</v>
      </c>
      <c r="R25">
        <v>44.3</v>
      </c>
      <c r="S25">
        <v>6</v>
      </c>
    </row>
    <row r="26" spans="1:19">
      <c r="A26" s="20" t="s">
        <v>104</v>
      </c>
      <c r="Q26">
        <v>22.1</v>
      </c>
      <c r="R26">
        <v>44.3</v>
      </c>
      <c r="S26">
        <v>6</v>
      </c>
    </row>
    <row r="27" spans="1:19">
      <c r="A27" s="20" t="s">
        <v>105</v>
      </c>
      <c r="N27">
        <v>66.4</v>
      </c>
      <c r="P27" s="17">
        <v>0.03</v>
      </c>
    </row>
    <row r="28" spans="1:19">
      <c r="A28" s="20" t="s">
        <v>25</v>
      </c>
      <c r="B28">
        <v>130.1</v>
      </c>
      <c r="F28" s="19">
        <v>0.046</v>
      </c>
    </row>
    <row r="29" spans="1:19">
      <c r="A29" s="20" t="s">
        <v>31</v>
      </c>
      <c r="E29" s="19">
        <v>0.135</v>
      </c>
      <c r="K29" s="19">
        <v>0.04</v>
      </c>
    </row>
    <row r="30" spans="1:19">
      <c r="A30" s="20" t="s">
        <v>106</v>
      </c>
      <c r="B30">
        <v>39</v>
      </c>
      <c r="C30">
        <v>78</v>
      </c>
      <c r="J30" s="21">
        <v>0.025</v>
      </c>
    </row>
    <row r="31" spans="1:19">
      <c r="A31" s="20" t="s">
        <v>107</v>
      </c>
      <c r="E31" s="19">
        <v>0.15</v>
      </c>
      <c r="F31" s="19">
        <v>0.046</v>
      </c>
    </row>
    <row r="32" spans="1:19">
      <c r="A32" s="20" t="s">
        <v>108</v>
      </c>
      <c r="B32">
        <v>39</v>
      </c>
      <c r="C32">
        <v>78</v>
      </c>
      <c r="I32">
        <v>5.1</v>
      </c>
    </row>
    <row r="33" spans="1:31">
      <c r="A33" s="20" t="s">
        <v>109</v>
      </c>
      <c r="B33">
        <v>130.1</v>
      </c>
      <c r="F33" s="19">
        <v>0.046</v>
      </c>
    </row>
    <row r="34" spans="1:31">
      <c r="A34" s="20" t="s">
        <v>110</v>
      </c>
      <c r="B34">
        <v>39</v>
      </c>
      <c r="C34">
        <v>78</v>
      </c>
      <c r="J34" s="21">
        <v>0.025</v>
      </c>
    </row>
    <row r="35" spans="1:31">
      <c r="A35" s="20" t="s">
        <v>111</v>
      </c>
      <c r="E35" s="19">
        <v>0.135</v>
      </c>
      <c r="K35" s="19">
        <v>0.04</v>
      </c>
    </row>
    <row r="36" customFormat="1" spans="1:31">
      <c r="A36" s="20" t="s">
        <v>112</v>
      </c>
      <c r="B36">
        <v>43.4</v>
      </c>
      <c r="C36">
        <v>86.8</v>
      </c>
      <c r="E36" s="19"/>
      <c r="F36" s="19"/>
      <c r="J36" s="21">
        <v>0.028</v>
      </c>
      <c r="M36" s="21"/>
      <c r="N36" s="19"/>
    </row>
    <row r="37" spans="1:31">
      <c r="A37" s="20" t="s">
        <v>113</v>
      </c>
      <c r="B37">
        <v>130.1</v>
      </c>
      <c r="F37" s="19">
        <v>0.046</v>
      </c>
    </row>
    <row r="38" spans="1:31">
      <c r="A38" s="20" t="s">
        <v>114</v>
      </c>
      <c r="E38" s="19">
        <v>0.135</v>
      </c>
      <c r="K38" s="19">
        <v>0.04</v>
      </c>
    </row>
    <row r="39" spans="1:31">
      <c r="A39" s="20" t="s">
        <v>115</v>
      </c>
      <c r="B39">
        <v>39</v>
      </c>
      <c r="C39">
        <v>78</v>
      </c>
      <c r="J39" s="21">
        <v>0.025</v>
      </c>
    </row>
    <row r="40" spans="1:31">
      <c r="A40" s="20" t="s">
        <v>116</v>
      </c>
      <c r="AC40">
        <v>22.1</v>
      </c>
      <c r="AD40">
        <v>44.3</v>
      </c>
      <c r="AE40">
        <v>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6"/>
  <sheetViews>
    <sheetView workbookViewId="0">
      <selection activeCell="H24" sqref="H24"/>
    </sheetView>
  </sheetViews>
  <sheetFormatPr defaultColWidth="9" defaultRowHeight="13.5"/>
  <sheetData>
    <row r="1" spans="1:11">
      <c r="B1" t="s">
        <v>117</v>
      </c>
      <c r="C1" t="s">
        <v>118</v>
      </c>
      <c r="E1" t="s">
        <v>74</v>
      </c>
      <c r="F1" t="s">
        <v>75</v>
      </c>
      <c r="G1" t="s">
        <v>119</v>
      </c>
      <c r="H1" t="s">
        <v>120</v>
      </c>
      <c r="I1" t="s">
        <v>121</v>
      </c>
      <c r="J1" t="s">
        <v>122</v>
      </c>
      <c r="K1" t="s">
        <v>123</v>
      </c>
    </row>
    <row r="2" spans="1:11">
      <c r="A2" t="s">
        <v>124</v>
      </c>
      <c r="B2">
        <v>114</v>
      </c>
      <c r="C2">
        <v>265</v>
      </c>
      <c r="E2">
        <f>SUM(B:B)</f>
        <v>1377.4</v>
      </c>
      <c r="F2">
        <f>SUM(C:C)</f>
        <v>2565.8</v>
      </c>
      <c r="G2">
        <v>122</v>
      </c>
      <c r="H2" s="17">
        <v>0.14</v>
      </c>
      <c r="I2" s="17">
        <v>0.07</v>
      </c>
      <c r="J2">
        <v>306</v>
      </c>
      <c r="K2">
        <v>612</v>
      </c>
    </row>
    <row r="3" spans="1:11">
      <c r="A3" t="s">
        <v>125</v>
      </c>
      <c r="B3">
        <v>114</v>
      </c>
      <c r="C3">
        <v>265</v>
      </c>
    </row>
    <row r="4" spans="1:11">
      <c r="A4" t="s">
        <v>11</v>
      </c>
      <c r="C4">
        <v>227</v>
      </c>
    </row>
    <row r="5" spans="1:11">
      <c r="A5" t="s">
        <v>10</v>
      </c>
      <c r="B5">
        <v>152</v>
      </c>
    </row>
    <row r="6" spans="1:11">
      <c r="A6" t="s">
        <v>126</v>
      </c>
      <c r="B6">
        <v>185</v>
      </c>
      <c r="C6">
        <v>123</v>
      </c>
    </row>
    <row r="7" spans="1:11">
      <c r="A7" t="s">
        <v>126</v>
      </c>
      <c r="B7">
        <v>185</v>
      </c>
      <c r="C7">
        <v>123</v>
      </c>
    </row>
    <row r="8" spans="1:11">
      <c r="A8" t="s">
        <v>127</v>
      </c>
      <c r="C8">
        <v>246</v>
      </c>
    </row>
    <row r="9" spans="1:11">
      <c r="A9" t="s">
        <v>128</v>
      </c>
      <c r="C9">
        <v>246</v>
      </c>
    </row>
    <row r="11" spans="1:11">
      <c r="A11" t="s">
        <v>22</v>
      </c>
      <c r="B11">
        <v>263</v>
      </c>
      <c r="C11">
        <v>506</v>
      </c>
    </row>
    <row r="12" spans="1:11">
      <c r="A12" t="s">
        <v>18</v>
      </c>
      <c r="B12">
        <v>105.6</v>
      </c>
      <c r="C12">
        <v>105.6</v>
      </c>
    </row>
    <row r="13" spans="1:11">
      <c r="A13" t="s">
        <v>129</v>
      </c>
      <c r="B13">
        <v>8</v>
      </c>
      <c r="C13">
        <v>16</v>
      </c>
    </row>
    <row r="14" spans="1:11">
      <c r="A14" t="s">
        <v>130</v>
      </c>
      <c r="B14">
        <v>16</v>
      </c>
      <c r="C14">
        <v>24</v>
      </c>
    </row>
    <row r="15" spans="1:11">
      <c r="A15" t="s">
        <v>131</v>
      </c>
      <c r="B15">
        <v>8</v>
      </c>
      <c r="C15">
        <v>16</v>
      </c>
    </row>
    <row r="16" spans="1:11">
      <c r="A16" t="s">
        <v>132</v>
      </c>
      <c r="B16">
        <v>8</v>
      </c>
      <c r="C16">
        <v>16</v>
      </c>
    </row>
    <row r="17" spans="1:3">
      <c r="A17" t="s">
        <v>133</v>
      </c>
      <c r="B17">
        <v>4</v>
      </c>
      <c r="C17">
        <v>8</v>
      </c>
    </row>
    <row r="18" spans="1:3">
      <c r="A18" t="s">
        <v>133</v>
      </c>
      <c r="B18">
        <v>13.2</v>
      </c>
      <c r="C18">
        <v>13.2</v>
      </c>
    </row>
    <row r="19" spans="1:3">
      <c r="A19" t="s">
        <v>134</v>
      </c>
      <c r="B19">
        <v>4</v>
      </c>
      <c r="C19">
        <v>4</v>
      </c>
    </row>
    <row r="20" spans="1:3">
      <c r="A20" t="s">
        <v>135</v>
      </c>
      <c r="B20">
        <v>13.2</v>
      </c>
      <c r="C20">
        <v>13.2</v>
      </c>
    </row>
    <row r="21" spans="1:3">
      <c r="A21" t="s">
        <v>136</v>
      </c>
      <c r="C21">
        <v>4</v>
      </c>
    </row>
    <row r="22" spans="1:3">
      <c r="A22" t="s">
        <v>137</v>
      </c>
      <c r="B22">
        <v>13.2</v>
      </c>
      <c r="C22">
        <v>26.4</v>
      </c>
    </row>
    <row r="23" spans="1:3">
      <c r="A23" t="s">
        <v>138</v>
      </c>
      <c r="B23" s="18">
        <v>122</v>
      </c>
      <c r="C23" s="18">
        <v>244</v>
      </c>
    </row>
    <row r="24" spans="1:3">
      <c r="A24" t="s">
        <v>139</v>
      </c>
      <c r="B24">
        <v>24</v>
      </c>
      <c r="C24">
        <v>36</v>
      </c>
    </row>
    <row r="25" spans="1:3">
      <c r="A25" t="s">
        <v>140</v>
      </c>
      <c r="B25">
        <v>12</v>
      </c>
      <c r="C25">
        <v>12</v>
      </c>
    </row>
    <row r="26" spans="1:3">
      <c r="A26" t="s">
        <v>141</v>
      </c>
      <c r="B26">
        <v>13.2</v>
      </c>
      <c r="C26">
        <v>26.4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1"/>
  <sheetViews>
    <sheetView workbookViewId="0">
      <selection activeCell="G20" sqref="G20"/>
    </sheetView>
  </sheetViews>
  <sheetFormatPr defaultColWidth="9" defaultRowHeight="13.5"/>
  <cols>
    <col min="2" max="7" width="9" style="15"/>
  </cols>
  <sheetData>
    <row r="1" spans="1:15">
      <c r="B1" s="15" t="s">
        <v>142</v>
      </c>
      <c r="C1" s="15" t="s">
        <v>143</v>
      </c>
      <c r="D1" s="15" t="s">
        <v>32</v>
      </c>
      <c r="E1" s="15" t="s">
        <v>39</v>
      </c>
      <c r="F1" s="15" t="s">
        <v>53</v>
      </c>
      <c r="G1" s="15" t="s">
        <v>144</v>
      </c>
      <c r="H1" t="s">
        <v>42</v>
      </c>
      <c r="I1" t="s">
        <v>44</v>
      </c>
      <c r="J1" t="s">
        <v>48</v>
      </c>
      <c r="K1" t="s">
        <v>50</v>
      </c>
      <c r="L1" t="s">
        <v>51</v>
      </c>
      <c r="M1" t="s">
        <v>52</v>
      </c>
      <c r="N1" t="s">
        <v>54</v>
      </c>
      <c r="O1" t="s">
        <v>55</v>
      </c>
    </row>
    <row r="2" spans="1:15">
      <c r="A2" t="s">
        <v>145</v>
      </c>
      <c r="C2">
        <v>129.9</v>
      </c>
      <c r="E2" s="16">
        <v>0.075</v>
      </c>
      <c r="F2" s="15" t="s">
        <v>23</v>
      </c>
      <c r="G2" s="15" t="s">
        <v>146</v>
      </c>
      <c r="H2">
        <v>328</v>
      </c>
      <c r="I2">
        <v>656</v>
      </c>
    </row>
    <row r="3" spans="1:15">
      <c r="A3" t="s">
        <v>147</v>
      </c>
      <c r="C3">
        <v>129.9</v>
      </c>
      <c r="E3" s="16">
        <v>0.075</v>
      </c>
      <c r="F3" s="15" t="s">
        <v>29</v>
      </c>
      <c r="G3" s="15" t="s">
        <v>146</v>
      </c>
      <c r="H3">
        <v>328</v>
      </c>
      <c r="I3">
        <v>656</v>
      </c>
    </row>
    <row r="4" spans="1:15">
      <c r="A4" t="s">
        <v>148</v>
      </c>
      <c r="B4">
        <v>129.9</v>
      </c>
      <c r="C4">
        <v>129.9</v>
      </c>
      <c r="D4" s="16"/>
      <c r="F4" s="15" t="s">
        <v>23</v>
      </c>
      <c r="G4" s="15" t="s">
        <v>149</v>
      </c>
      <c r="J4">
        <v>328</v>
      </c>
      <c r="K4">
        <v>656</v>
      </c>
    </row>
    <row r="5" spans="1:15">
      <c r="A5" t="s">
        <v>150</v>
      </c>
      <c r="B5">
        <v>129.9</v>
      </c>
      <c r="D5" s="16">
        <v>0.15</v>
      </c>
      <c r="F5" s="15" t="s">
        <v>26</v>
      </c>
      <c r="G5" s="15" t="s">
        <v>149</v>
      </c>
      <c r="J5">
        <v>328</v>
      </c>
      <c r="K5">
        <v>656</v>
      </c>
    </row>
    <row r="6" spans="1:15">
      <c r="A6" t="s">
        <v>151</v>
      </c>
      <c r="B6">
        <v>129.9</v>
      </c>
      <c r="D6" s="16">
        <v>0.15</v>
      </c>
      <c r="F6" s="15" t="s">
        <v>26</v>
      </c>
      <c r="G6" s="15" t="s">
        <v>152</v>
      </c>
      <c r="L6">
        <v>328</v>
      </c>
      <c r="M6">
        <v>656</v>
      </c>
    </row>
    <row r="7" spans="1:15">
      <c r="A7" t="s">
        <v>153</v>
      </c>
      <c r="B7">
        <v>129.9</v>
      </c>
      <c r="D7" s="16">
        <v>0.15</v>
      </c>
      <c r="F7" s="15" t="s">
        <v>26</v>
      </c>
      <c r="G7" s="15" t="s">
        <v>152</v>
      </c>
      <c r="L7">
        <v>328</v>
      </c>
      <c r="M7">
        <v>656</v>
      </c>
    </row>
    <row r="8" spans="1:15">
      <c r="A8" t="s">
        <v>154</v>
      </c>
      <c r="B8">
        <v>129.9</v>
      </c>
      <c r="D8" s="16">
        <v>0.15</v>
      </c>
      <c r="F8" s="15" t="s">
        <v>26</v>
      </c>
      <c r="G8" s="15" t="s">
        <v>155</v>
      </c>
      <c r="N8">
        <v>328</v>
      </c>
      <c r="O8">
        <v>656</v>
      </c>
    </row>
    <row r="9" spans="1:15">
      <c r="A9" t="s">
        <v>156</v>
      </c>
      <c r="B9">
        <v>129.9</v>
      </c>
      <c r="D9" s="16">
        <v>0.15</v>
      </c>
      <c r="F9" s="15" t="s">
        <v>26</v>
      </c>
      <c r="G9" s="15" t="s">
        <v>155</v>
      </c>
      <c r="N9">
        <v>328</v>
      </c>
      <c r="O9">
        <v>656</v>
      </c>
    </row>
    <row r="10" spans="1:15">
      <c r="A10" t="s">
        <v>49</v>
      </c>
      <c r="B10">
        <v>129.9</v>
      </c>
      <c r="D10" s="16">
        <v>0.15</v>
      </c>
      <c r="F10" s="15" t="s">
        <v>26</v>
      </c>
      <c r="G10" s="15" t="s">
        <v>155</v>
      </c>
      <c r="N10">
        <v>328</v>
      </c>
      <c r="O10">
        <v>656</v>
      </c>
    </row>
    <row r="11" spans="1:15">
      <c r="A11" t="s">
        <v>157</v>
      </c>
      <c r="B11">
        <v>129.9</v>
      </c>
      <c r="D11" s="16">
        <v>0.15</v>
      </c>
      <c r="F11" s="15" t="s">
        <v>26</v>
      </c>
      <c r="G11" s="15" t="s">
        <v>155</v>
      </c>
      <c r="N11">
        <v>328</v>
      </c>
      <c r="O11">
        <v>656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0"/>
  <sheetViews>
    <sheetView tabSelected="1" workbookViewId="0">
      <selection activeCell="H33" sqref="H33:H34"/>
    </sheetView>
  </sheetViews>
  <sheetFormatPr defaultColWidth="9" defaultRowHeight="13.5" outlineLevelCol="2"/>
  <cols>
    <col min="1" max="1" width="9" style="1"/>
    <col min="3" max="3" width="44.5" customWidth="1"/>
  </cols>
  <sheetData>
    <row r="1" ht="14.25" spans="1:3">
      <c r="A1" s="2" t="s">
        <v>158</v>
      </c>
      <c r="B1" s="3"/>
      <c r="C1" s="4"/>
    </row>
    <row r="2" ht="14.25" spans="1:3">
      <c r="A2" s="5" t="s">
        <v>159</v>
      </c>
      <c r="B2" s="6" t="s">
        <v>160</v>
      </c>
      <c r="C2" s="7" t="s">
        <v>161</v>
      </c>
    </row>
    <row r="3" ht="14.25" spans="1:3">
      <c r="A3" s="8">
        <v>0.1</v>
      </c>
      <c r="B3" s="9">
        <v>1</v>
      </c>
      <c r="C3" s="10" t="s">
        <v>162</v>
      </c>
    </row>
    <row r="4" ht="14.25" spans="1:3">
      <c r="A4" s="8">
        <v>0.2</v>
      </c>
      <c r="B4" s="9">
        <v>1</v>
      </c>
      <c r="C4" s="10" t="s">
        <v>163</v>
      </c>
    </row>
    <row r="5" ht="14.25" spans="1:3">
      <c r="A5" s="8">
        <v>0.3</v>
      </c>
      <c r="B5" s="9">
        <v>1</v>
      </c>
      <c r="C5" s="10" t="s">
        <v>164</v>
      </c>
    </row>
    <row r="6" ht="14.25" spans="1:3">
      <c r="A6" s="8">
        <v>0.4</v>
      </c>
      <c r="B6" s="9">
        <v>1</v>
      </c>
      <c r="C6" s="10" t="s">
        <v>165</v>
      </c>
    </row>
    <row r="7" ht="14.25" spans="1:3">
      <c r="A7" s="8">
        <v>0.5</v>
      </c>
      <c r="B7" s="9">
        <v>1</v>
      </c>
      <c r="C7" s="10" t="s">
        <v>166</v>
      </c>
    </row>
    <row r="8" ht="14.25" spans="1:3">
      <c r="A8" s="8">
        <v>0.6</v>
      </c>
      <c r="B8" s="9">
        <v>1</v>
      </c>
      <c r="C8" s="10" t="s">
        <v>167</v>
      </c>
    </row>
    <row r="9" ht="14.25" spans="1:3">
      <c r="A9" s="8">
        <v>0.7</v>
      </c>
      <c r="B9" s="9">
        <v>1</v>
      </c>
      <c r="C9" s="10" t="s">
        <v>168</v>
      </c>
    </row>
    <row r="10" ht="14.25" spans="1:3">
      <c r="A10" s="8">
        <v>0.8</v>
      </c>
      <c r="B10" s="9">
        <v>1</v>
      </c>
      <c r="C10" s="10" t="s">
        <v>169</v>
      </c>
    </row>
    <row r="11" ht="14.25" spans="1:3">
      <c r="A11" s="11" t="s">
        <v>170</v>
      </c>
      <c r="B11" s="9">
        <v>1</v>
      </c>
      <c r="C11" s="10" t="s">
        <v>171</v>
      </c>
    </row>
    <row r="12" ht="14.25" spans="1:3">
      <c r="A12" s="8" t="s">
        <v>172</v>
      </c>
      <c r="B12" s="9">
        <v>1</v>
      </c>
      <c r="C12" s="10" t="s">
        <v>173</v>
      </c>
    </row>
    <row r="13" ht="14.25" spans="1:3">
      <c r="A13" s="8" t="s">
        <v>174</v>
      </c>
      <c r="B13" s="9">
        <v>1</v>
      </c>
      <c r="C13" s="10" t="s">
        <v>175</v>
      </c>
    </row>
    <row r="14" ht="14.25" spans="1:3">
      <c r="A14" s="8" t="s">
        <v>176</v>
      </c>
      <c r="B14" s="9">
        <v>1</v>
      </c>
      <c r="C14" s="10" t="s">
        <v>177</v>
      </c>
    </row>
    <row r="15" ht="14.25" spans="1:3">
      <c r="A15" s="8" t="s">
        <v>178</v>
      </c>
      <c r="B15" s="9">
        <v>1</v>
      </c>
      <c r="C15" s="10" t="s">
        <v>173</v>
      </c>
    </row>
    <row r="16" ht="14.25" spans="1:3">
      <c r="A16" s="8">
        <v>0.9</v>
      </c>
      <c r="B16" s="9">
        <v>1</v>
      </c>
      <c r="C16" s="10" t="s">
        <v>179</v>
      </c>
    </row>
    <row r="17" ht="14.25" spans="1:3">
      <c r="A17" s="8" t="s">
        <v>180</v>
      </c>
      <c r="B17" s="9">
        <v>1</v>
      </c>
      <c r="C17" s="10" t="s">
        <v>181</v>
      </c>
    </row>
    <row r="18" ht="14.25" spans="1:3">
      <c r="A18" s="8" t="s">
        <v>182</v>
      </c>
      <c r="B18" s="9">
        <v>1</v>
      </c>
      <c r="C18" s="10" t="s">
        <v>183</v>
      </c>
    </row>
    <row r="19" ht="14.25" spans="1:3">
      <c r="A19" s="8" t="s">
        <v>184</v>
      </c>
      <c r="B19" s="9">
        <v>1</v>
      </c>
      <c r="C19" s="10" t="s">
        <v>185</v>
      </c>
    </row>
    <row r="20" ht="14.25" spans="1:3">
      <c r="A20" s="8" t="s">
        <v>186</v>
      </c>
      <c r="B20" s="9">
        <v>1</v>
      </c>
      <c r="C20" s="10" t="s">
        <v>187</v>
      </c>
    </row>
    <row r="21" ht="14.25" spans="1:3">
      <c r="A21" s="8" t="s">
        <v>188</v>
      </c>
      <c r="B21" s="9">
        <v>1</v>
      </c>
      <c r="C21" s="10" t="s">
        <v>189</v>
      </c>
    </row>
    <row r="22" ht="14.25" spans="1:3">
      <c r="A22" s="8" t="s">
        <v>190</v>
      </c>
      <c r="B22" s="9">
        <v>1</v>
      </c>
      <c r="C22" s="10" t="s">
        <v>183</v>
      </c>
    </row>
    <row r="23" ht="14.25" spans="1:3">
      <c r="A23" s="8" t="s">
        <v>191</v>
      </c>
      <c r="B23" s="9">
        <v>1</v>
      </c>
      <c r="C23" s="10" t="s">
        <v>183</v>
      </c>
    </row>
    <row r="24" ht="14.25" spans="1:3">
      <c r="A24" s="8" t="s">
        <v>192</v>
      </c>
      <c r="B24" s="9">
        <v>1</v>
      </c>
      <c r="C24" s="10" t="s">
        <v>193</v>
      </c>
    </row>
    <row r="25" ht="14.25" spans="1:3">
      <c r="A25" s="8" t="s">
        <v>194</v>
      </c>
      <c r="B25" s="9">
        <v>1</v>
      </c>
      <c r="C25" s="10" t="s">
        <v>195</v>
      </c>
    </row>
    <row r="26" ht="14.25" spans="1:3">
      <c r="A26" s="8" t="s">
        <v>196</v>
      </c>
      <c r="B26" s="9">
        <v>1</v>
      </c>
      <c r="C26" s="10" t="s">
        <v>197</v>
      </c>
    </row>
    <row r="27" ht="14.25" spans="1:3">
      <c r="A27" s="8" t="s">
        <v>198</v>
      </c>
      <c r="B27" s="9">
        <v>1</v>
      </c>
      <c r="C27" s="10" t="s">
        <v>199</v>
      </c>
    </row>
    <row r="28" ht="14.25" spans="1:3">
      <c r="A28" s="8" t="s">
        <v>200</v>
      </c>
      <c r="B28" s="9">
        <v>1</v>
      </c>
      <c r="C28" s="10" t="s">
        <v>185</v>
      </c>
    </row>
    <row r="29" ht="14.25" spans="1:3">
      <c r="A29" s="8" t="s">
        <v>201</v>
      </c>
      <c r="B29" s="9">
        <v>1</v>
      </c>
      <c r="C29" s="10" t="s">
        <v>202</v>
      </c>
    </row>
    <row r="30" ht="14.25" spans="1:3">
      <c r="A30" s="12" t="s">
        <v>203</v>
      </c>
      <c r="B30" s="13">
        <v>1</v>
      </c>
      <c r="C30" s="14" t="s">
        <v>204</v>
      </c>
    </row>
  </sheetData>
  <mergeCells count="1">
    <mergeCell ref="A1:C1"/>
  </mergeCells>
  <hyperlinks>
    <hyperlink ref="A1" r:id="rId1" display="bilibili@片雲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DIY</vt:lpstr>
      <vt:lpstr>心法</vt:lpstr>
      <vt:lpstr>基础属性</vt:lpstr>
      <vt:lpstr>武学天赋</vt:lpstr>
      <vt:lpstr>版本日志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haruhi</dc:creator>
  <cp:lastModifiedBy>Violetta</cp:lastModifiedBy>
  <dcterms:created xsi:type="dcterms:W3CDTF">2023-05-12T11:15:00Z</dcterms:created>
  <dcterms:modified xsi:type="dcterms:W3CDTF">2026-10-01T01:28:33Z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2A3941F502D44D849FE58B4A4DFCA2E7_13</vt:lpwstr>
  </property>
  <property fmtid="{D5CDD505-2E9C-101B-9397-08002B2CF9AE}" pid="4" name="CalculationRule">
    <vt:i4>0</vt:i4>
  </property>
</Properties>
</file>