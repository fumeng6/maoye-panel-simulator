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fm\Desktop\"/>
    </mc:Choice>
  </mc:AlternateContent>
  <xr:revisionPtr revIDLastSave="0" documentId="13_ncr:1_{DEF95B2B-7CB7-4AC1-8907-2E4F99205DE0}" xr6:coauthVersionLast="47" xr6:coauthVersionMax="47" xr10:uidLastSave="{00000000-0000-0000-0000-000000000000}"/>
  <bookViews>
    <workbookView xWindow="25490" yWindow="-680" windowWidth="25820" windowHeight="15500" activeTab="5" xr2:uid="{00000000-000D-0000-FFFF-FFFF00000000}"/>
  </bookViews>
  <sheets>
    <sheet name="基础数据汇总" sheetId="1" r:id="rId1"/>
    <sheet name="随等级成长的基础数据" sheetId="2" r:id="rId2"/>
    <sheet name="武学天赋" sheetId="3" r:id="rId3"/>
    <sheet name="心法" sheetId="4" r:id="rId4"/>
    <sheet name="装备套装" sheetId="5" r:id="rId5"/>
    <sheet name="装备词条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2" i="2"/>
  <c r="F3" i="2"/>
  <c r="F2" i="2"/>
  <c r="B2" i="2" s="1"/>
  <c r="G3" i="2"/>
  <c r="G2" i="2"/>
  <c r="D15" i="2"/>
  <c r="D14" i="2"/>
  <c r="D13" i="2"/>
  <c r="D10" i="2"/>
  <c r="D9" i="2"/>
  <c r="D8" i="2"/>
  <c r="D7" i="2"/>
  <c r="D6" i="2"/>
  <c r="D3" i="2"/>
  <c r="D2" i="2"/>
  <c r="C21" i="2"/>
  <c r="C27" i="2"/>
  <c r="C26" i="2"/>
  <c r="C25" i="2"/>
  <c r="C24" i="2"/>
  <c r="C23" i="2"/>
  <c r="C22" i="2"/>
  <c r="C30" i="2"/>
  <c r="C29" i="2"/>
  <c r="D2" i="3"/>
  <c r="D3" i="3"/>
  <c r="C3" i="3"/>
  <c r="B3" i="3"/>
  <c r="C5" i="3"/>
  <c r="B5" i="3"/>
  <c r="L21" i="3"/>
  <c r="K21" i="3"/>
  <c r="J21" i="3"/>
  <c r="B18" i="3"/>
  <c r="C18" i="3"/>
  <c r="D19" i="3"/>
  <c r="E19" i="3"/>
  <c r="F20" i="3"/>
  <c r="G20" i="3"/>
  <c r="H20" i="3"/>
  <c r="B14" i="3"/>
  <c r="C14" i="3"/>
  <c r="D15" i="3"/>
  <c r="E15" i="3"/>
  <c r="F16" i="3"/>
  <c r="G16" i="3"/>
  <c r="H16" i="3"/>
  <c r="L17" i="3"/>
  <c r="K17" i="3"/>
  <c r="J17" i="3"/>
  <c r="L10" i="3"/>
  <c r="K10" i="3"/>
  <c r="J10" i="3"/>
  <c r="L11" i="3"/>
  <c r="K11" i="3"/>
  <c r="J11" i="3"/>
  <c r="B7" i="3"/>
  <c r="C7" i="3"/>
  <c r="D9" i="3"/>
  <c r="E9" i="3"/>
  <c r="F13" i="3"/>
  <c r="G13" i="3"/>
  <c r="H13" i="3"/>
  <c r="B6" i="3"/>
  <c r="C6" i="3"/>
  <c r="D8" i="3"/>
  <c r="E8" i="3"/>
  <c r="F12" i="3"/>
  <c r="G12" i="3"/>
  <c r="H12" i="3"/>
  <c r="L4" i="3"/>
  <c r="K4" i="3"/>
  <c r="J4" i="3"/>
  <c r="I4" i="3"/>
  <c r="H4" i="3"/>
  <c r="G4" i="3"/>
  <c r="F4" i="3"/>
  <c r="E4" i="3"/>
  <c r="L2" i="3"/>
  <c r="K2" i="3"/>
  <c r="J2" i="3"/>
  <c r="H2" i="3"/>
  <c r="G2" i="3"/>
  <c r="F2" i="3"/>
  <c r="E2" i="3"/>
  <c r="I12" i="3"/>
  <c r="I13" i="3"/>
  <c r="I16" i="3"/>
  <c r="I20" i="3"/>
  <c r="I2" i="3"/>
  <c r="AZ3" i="4"/>
  <c r="AZ9" i="4"/>
  <c r="AY30" i="4"/>
  <c r="AY4" i="4"/>
  <c r="AX28" i="4"/>
  <c r="AX3" i="4"/>
  <c r="AX2" i="4"/>
  <c r="AW28" i="4"/>
  <c r="AW2" i="4"/>
  <c r="AV7" i="4"/>
  <c r="AV3" i="4"/>
  <c r="AV2" i="4"/>
  <c r="AU30" i="4"/>
  <c r="AU3" i="4"/>
  <c r="AU2" i="4"/>
  <c r="AG30" i="4"/>
  <c r="AG3" i="4"/>
  <c r="AG2" i="4"/>
  <c r="AF9" i="4"/>
  <c r="AF5" i="4"/>
  <c r="AE22" i="4"/>
  <c r="AE17" i="4"/>
  <c r="AE16" i="4"/>
  <c r="AD7" i="4"/>
  <c r="AD2" i="4"/>
  <c r="AS19" i="4"/>
  <c r="AS18" i="4"/>
  <c r="AS23" i="4"/>
  <c r="AO29" i="4"/>
  <c r="AO3" i="4"/>
  <c r="AO2" i="4"/>
  <c r="AN11" i="4"/>
  <c r="AM11" i="4"/>
  <c r="AC22" i="4"/>
  <c r="AC17" i="4"/>
  <c r="AC16" i="4"/>
  <c r="W7" i="4"/>
  <c r="AM18" i="4"/>
  <c r="Y16" i="4"/>
  <c r="U16" i="4"/>
  <c r="AJ4" i="4"/>
  <c r="W4" i="4"/>
  <c r="T4" i="4"/>
  <c r="X2" i="4"/>
  <c r="S2" i="4"/>
  <c r="R30" i="4"/>
  <c r="AR9" i="4"/>
  <c r="AA9" i="4"/>
  <c r="T9" i="4"/>
  <c r="O9" i="4"/>
  <c r="AR5" i="4"/>
  <c r="AN5" i="4"/>
  <c r="AA5" i="4"/>
  <c r="O5" i="4"/>
  <c r="AP7" i="4"/>
  <c r="AL7" i="4"/>
  <c r="AH7" i="4"/>
  <c r="Z7" i="4"/>
  <c r="N7" i="4"/>
  <c r="AP2" i="4"/>
  <c r="Z2" i="4"/>
  <c r="N2" i="4"/>
  <c r="V9" i="4"/>
  <c r="J9" i="4"/>
  <c r="AL5" i="4"/>
  <c r="AH5" i="4"/>
  <c r="V5" i="4"/>
  <c r="R5" i="4"/>
  <c r="J5" i="4"/>
  <c r="AQ30" i="4"/>
  <c r="AK30" i="4"/>
  <c r="AB30" i="4"/>
  <c r="Q30" i="4"/>
  <c r="I30" i="4"/>
  <c r="AI28" i="4"/>
  <c r="X28" i="4"/>
  <c r="S28" i="4"/>
  <c r="AJ23" i="4"/>
  <c r="Y22" i="4"/>
  <c r="U22" i="4"/>
  <c r="P21" i="4"/>
  <c r="K21" i="4"/>
  <c r="P15" i="4"/>
  <c r="K15" i="4"/>
  <c r="P14" i="4"/>
  <c r="K14" i="4"/>
  <c r="AQ3" i="4"/>
  <c r="AK3" i="4"/>
  <c r="AI3" i="4"/>
  <c r="AB3" i="4"/>
  <c r="Q3" i="4"/>
  <c r="I3" i="4"/>
  <c r="AQ2" i="4"/>
  <c r="AK2" i="4"/>
  <c r="AI2" i="4"/>
  <c r="AB2" i="4"/>
  <c r="Q2" i="4"/>
  <c r="I2" i="4"/>
  <c r="H20" i="4"/>
  <c r="H13" i="4"/>
  <c r="H12" i="4"/>
  <c r="G10" i="4"/>
  <c r="G6" i="4"/>
  <c r="F8" i="4"/>
  <c r="F3" i="4"/>
  <c r="E28" i="4"/>
  <c r="E3" i="4"/>
  <c r="E2" i="4"/>
  <c r="D24" i="4"/>
  <c r="D13" i="4"/>
  <c r="C10" i="4"/>
  <c r="C6" i="4"/>
  <c r="B8" i="4"/>
  <c r="B3" i="4"/>
  <c r="M3" i="5"/>
  <c r="M2" i="5"/>
  <c r="H4" i="5"/>
  <c r="G6" i="5"/>
  <c r="D6" i="5"/>
  <c r="B5" i="5"/>
  <c r="C11" i="5"/>
  <c r="K2" i="5" s="1"/>
  <c r="E12" i="5"/>
  <c r="C12" i="5" s="1"/>
  <c r="E11" i="5"/>
  <c r="B22" i="6"/>
  <c r="B21" i="6"/>
  <c r="D21" i="6" s="1"/>
  <c r="B20" i="6"/>
  <c r="B19" i="6"/>
  <c r="D19" i="6" s="1"/>
  <c r="B18" i="6"/>
  <c r="B17" i="6"/>
  <c r="B16" i="6"/>
  <c r="B15" i="6"/>
  <c r="B14" i="6"/>
  <c r="C14" i="6" s="1"/>
  <c r="B13" i="6"/>
  <c r="B12" i="6"/>
  <c r="B11" i="6"/>
  <c r="B10" i="6"/>
  <c r="B9" i="6"/>
  <c r="D9" i="6" s="1"/>
  <c r="B8" i="6"/>
  <c r="D8" i="6" s="1"/>
  <c r="B7" i="6"/>
  <c r="D7" i="6" s="1"/>
  <c r="B6" i="6"/>
  <c r="D6" i="6" s="1"/>
  <c r="B5" i="6"/>
  <c r="B4" i="6"/>
  <c r="B3" i="6"/>
  <c r="B2" i="6"/>
  <c r="D22" i="6"/>
  <c r="D20" i="6"/>
  <c r="B8" i="2"/>
  <c r="Q13" i="2"/>
  <c r="B15" i="2"/>
  <c r="B7" i="2"/>
  <c r="B6" i="2"/>
  <c r="D18" i="6"/>
  <c r="C18" i="6"/>
  <c r="D17" i="6"/>
  <c r="C17" i="6"/>
  <c r="D16" i="6"/>
  <c r="C16" i="6"/>
  <c r="D15" i="6"/>
  <c r="C15" i="6"/>
  <c r="D13" i="6"/>
  <c r="C13" i="6"/>
  <c r="D12" i="6"/>
  <c r="C12" i="6"/>
  <c r="D11" i="6"/>
  <c r="C11" i="6"/>
  <c r="D10" i="6"/>
  <c r="C10" i="6"/>
  <c r="C7" i="6"/>
  <c r="D5" i="6"/>
  <c r="C5" i="6"/>
  <c r="D4" i="6"/>
  <c r="C4" i="6"/>
  <c r="D3" i="6"/>
  <c r="C3" i="6"/>
  <c r="D2" i="6"/>
  <c r="C2" i="6"/>
  <c r="B16" i="2"/>
  <c r="B14" i="2"/>
  <c r="B13" i="2"/>
  <c r="B10" i="2"/>
  <c r="B9" i="2"/>
  <c r="B5" i="2"/>
  <c r="B4" i="2"/>
  <c r="K3" i="5" l="1"/>
  <c r="F3" i="5"/>
  <c r="H3" i="5"/>
  <c r="E3" i="5"/>
  <c r="G3" i="5"/>
  <c r="C3" i="5"/>
  <c r="L3" i="5"/>
  <c r="B3" i="5"/>
  <c r="J3" i="5"/>
  <c r="I3" i="5"/>
  <c r="D3" i="5"/>
  <c r="J2" i="5"/>
  <c r="L2" i="5"/>
  <c r="B2" i="5"/>
  <c r="D2" i="5"/>
  <c r="C2" i="5"/>
  <c r="E2" i="5"/>
  <c r="G2" i="5"/>
  <c r="F2" i="5"/>
  <c r="H2" i="5"/>
  <c r="I2" i="5"/>
  <c r="D14" i="6"/>
  <c r="C9" i="6"/>
  <c r="C8" i="6"/>
  <c r="C6" i="6"/>
  <c r="B3" i="2"/>
  <c r="D10" i="1" a="1"/>
  <c r="D10" i="1" s="1"/>
  <c r="G10" i="1" s="1"/>
  <c r="C11" i="1" a="1"/>
  <c r="C11" i="1" s="1"/>
  <c r="G11" i="1" s="1"/>
  <c r="C9" i="1" a="1"/>
  <c r="C9" i="1" s="1"/>
  <c r="B8" i="1" a="1"/>
  <c r="B8" i="1" s="1"/>
  <c r="F12" i="1"/>
  <c r="D8" i="1" a="1"/>
  <c r="D8" i="1" s="1"/>
  <c r="E12" i="1"/>
  <c r="B9" i="1" a="1"/>
  <c r="B9" i="1" s="1"/>
  <c r="F13" i="1"/>
  <c r="G8" i="1" l="1"/>
  <c r="L8" i="1" s="1"/>
  <c r="G9" i="1"/>
  <c r="L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<sst xmlns="http://schemas.openxmlformats.org/spreadsheetml/2006/main" count="324" uniqueCount="236">
  <si>
    <t>五维属性</t>
  </si>
  <si>
    <t>裂石钧</t>
  </si>
  <si>
    <t>最大外功攻击</t>
  </si>
  <si>
    <t>体</t>
  </si>
  <si>
    <t>最小外功攻击</t>
  </si>
  <si>
    <t>御</t>
  </si>
  <si>
    <t>孤忠不辞</t>
  </si>
  <si>
    <t>牵丝霖</t>
  </si>
  <si>
    <t>最大无相攻击</t>
  </si>
  <si>
    <t>劲</t>
  </si>
  <si>
    <t>断岳</t>
  </si>
  <si>
    <t>燎原踏</t>
  </si>
  <si>
    <t>最小无相攻击</t>
  </si>
  <si>
    <t>敏</t>
  </si>
  <si>
    <t>玄甲</t>
  </si>
  <si>
    <t>裂石威</t>
  </si>
  <si>
    <t>山河绝韵</t>
  </si>
  <si>
    <t>牵丝玉</t>
  </si>
  <si>
    <t>最大属性攻击</t>
  </si>
  <si>
    <t>势</t>
  </si>
  <si>
    <t>玉斗</t>
  </si>
  <si>
    <t>困兽心经</t>
  </si>
  <si>
    <t>最小属性攻击</t>
  </si>
  <si>
    <t>易相</t>
  </si>
  <si>
    <t>抗造大法</t>
  </si>
  <si>
    <t>破竹尘</t>
  </si>
  <si>
    <t>精准率</t>
  </si>
  <si>
    <t>飞隼</t>
  </si>
  <si>
    <t>磐石诀</t>
  </si>
  <si>
    <t>会心率</t>
  </si>
  <si>
    <t>鹰扬</t>
  </si>
  <si>
    <t>君臣药</t>
  </si>
  <si>
    <t>破竹风</t>
  </si>
  <si>
    <t>会意率</t>
  </si>
  <si>
    <t>时雨</t>
  </si>
  <si>
    <t>杏花不见</t>
  </si>
  <si>
    <t>桂月</t>
  </si>
  <si>
    <t>指玄篇注</t>
  </si>
  <si>
    <t>破竹鸢</t>
  </si>
  <si>
    <t>燕归</t>
  </si>
  <si>
    <t>千丝蛊</t>
  </si>
  <si>
    <t>江凝</t>
  </si>
  <si>
    <t>花上月令</t>
  </si>
  <si>
    <t>鸣金虹</t>
  </si>
  <si>
    <t>无名剑法</t>
  </si>
  <si>
    <t>烟柳</t>
  </si>
  <si>
    <t>葫芦飞飞</t>
  </si>
  <si>
    <t>不知寒</t>
  </si>
  <si>
    <t>春雷篇</t>
  </si>
  <si>
    <t>鸣金影</t>
  </si>
  <si>
    <t>浣花</t>
  </si>
  <si>
    <t>纵地摘星</t>
  </si>
  <si>
    <t>直接会心率</t>
  </si>
  <si>
    <t>梨雪</t>
  </si>
  <si>
    <t>指定武学增效</t>
  </si>
  <si>
    <t>直接会意率</t>
  </si>
  <si>
    <t>连星</t>
  </si>
  <si>
    <t>千山法</t>
  </si>
  <si>
    <t>全武学增效</t>
  </si>
  <si>
    <t>抱玉</t>
  </si>
  <si>
    <t>燎原星火</t>
  </si>
  <si>
    <t>对首领单位增伤</t>
  </si>
  <si>
    <t>判定抗性</t>
  </si>
  <si>
    <t>撼天</t>
  </si>
  <si>
    <t>威猛歌</t>
  </si>
  <si>
    <t>对玩家单位增效</t>
  </si>
  <si>
    <t>尚义</t>
  </si>
  <si>
    <t>剑气纵横</t>
  </si>
  <si>
    <t>会心伤害加成</t>
  </si>
  <si>
    <t>疾风骤</t>
  </si>
  <si>
    <t>逐狼心经</t>
  </si>
  <si>
    <t>会意伤害加成</t>
  </si>
  <si>
    <t>岳山倾</t>
  </si>
  <si>
    <t>移经易武</t>
  </si>
  <si>
    <t>外功穿透</t>
  </si>
  <si>
    <t>凝神章</t>
  </si>
  <si>
    <t>外功伤害加成</t>
  </si>
  <si>
    <t>忘川绝响</t>
  </si>
  <si>
    <t>断石之构</t>
  </si>
  <si>
    <t>心弥泥鱼</t>
  </si>
  <si>
    <t>沧浪剑诀</t>
  </si>
  <si>
    <t>千营一呼</t>
  </si>
  <si>
    <t>绳舟行木</t>
  </si>
  <si>
    <t>灯儿亮</t>
  </si>
  <si>
    <t>大唐歌</t>
  </si>
  <si>
    <t>扶摇直上</t>
  </si>
  <si>
    <t>擒天势</t>
  </si>
  <si>
    <t>人物天赋</t>
  </si>
  <si>
    <t>武库</t>
  </si>
  <si>
    <t>三穷致知</t>
  </si>
  <si>
    <t>会心治疗加成</t>
  </si>
  <si>
    <t>天行健</t>
  </si>
  <si>
    <t>易水歌</t>
  </si>
  <si>
    <t>征人归</t>
  </si>
  <si>
    <t>叠音</t>
  </si>
  <si>
    <t>明晦同尘</t>
  </si>
  <si>
    <t>所恨年年</t>
  </si>
  <si>
    <t>极乐泣血</t>
  </si>
  <si>
    <t>汇总</t>
  </si>
  <si>
    <t>本表记载游戏中的各个系统提供的基础战斗数值，包括：随人物等级和大世界等级成长、人物天赋、蹊跷、武库、叠音、武学天赋、心法、装备套装提供的属性值。</t>
  </si>
  <si>
    <t>五维属性转换</t>
  </si>
  <si>
    <t>转换比率</t>
  </si>
  <si>
    <t>1 劲 = 0.225 最小攻 + 1.36 最大攻</t>
  </si>
  <si>
    <t>1 势 = 0.9 最大攻 + 0.038% 会意</t>
  </si>
  <si>
    <t>1 敏 = 0.9 最小攻 + 0.076% 会心</t>
  </si>
  <si>
    <t>1 体 = 60 血</t>
  </si>
  <si>
    <t>1 御 = 17 血 + 0.5 防</t>
  </si>
  <si>
    <t>气血</t>
  </si>
  <si>
    <t>防御</t>
  </si>
  <si>
    <t>人物&amp;世界等级</t>
  </si>
  <si>
    <t>蹊跷</t>
  </si>
  <si>
    <t>最小鸣金攻击</t>
  </si>
  <si>
    <t>最大鸣金攻击</t>
  </si>
  <si>
    <t>最小裂石攻击</t>
  </si>
  <si>
    <t>最大裂石攻击</t>
  </si>
  <si>
    <t>最小牵丝攻击</t>
  </si>
  <si>
    <t>最大牵丝攻击</t>
  </si>
  <si>
    <t>最小破竹攻击</t>
  </si>
  <si>
    <t>最大破竹攻击</t>
  </si>
  <si>
    <t>鸣金穿透</t>
  </si>
  <si>
    <t>裂石穿透</t>
  </si>
  <si>
    <t>破竹穿透</t>
  </si>
  <si>
    <t>牵丝穿透</t>
  </si>
  <si>
    <t>鸣金伤害加成</t>
  </si>
  <si>
    <t>裂石伤害加成</t>
  </si>
  <si>
    <t>破竹伤害加成</t>
  </si>
  <si>
    <t>牵丝伤害加成</t>
  </si>
  <si>
    <t>五维需求</t>
  </si>
  <si>
    <t>属性需求</t>
  </si>
  <si>
    <t>本系属性</t>
  </si>
  <si>
    <t>鸣金</t>
  </si>
  <si>
    <t>裂石</t>
  </si>
  <si>
    <t>破竹</t>
  </si>
  <si>
    <t>牵丝</t>
  </si>
  <si>
    <t>霜天百夜</t>
  </si>
  <si>
    <t>穿喉决</t>
  </si>
  <si>
    <t>满值</t>
  </si>
  <si>
    <t>承音</t>
  </si>
  <si>
    <t>下限</t>
  </si>
  <si>
    <t>弓诀·饮羽</t>
  </si>
  <si>
    <t>弓诀·惊弦</t>
  </si>
  <si>
    <t>弓诀·追影</t>
  </si>
  <si>
    <t>最新版本：人物等级100级，大世界等级20级</t>
    <phoneticPr fontId="7" type="noConversion"/>
  </si>
  <si>
    <t>外功穿透</t>
    <phoneticPr fontId="7" type="noConversion"/>
  </si>
  <si>
    <t>无相穿透</t>
    <phoneticPr fontId="7" type="noConversion"/>
  </si>
  <si>
    <t>外功抗性</t>
    <phoneticPr fontId="7" type="noConversion"/>
  </si>
  <si>
    <t>防具定音</t>
    <phoneticPr fontId="7" type="noConversion"/>
  </si>
  <si>
    <t>首领防御</t>
    <phoneticPr fontId="7" type="noConversion"/>
  </si>
  <si>
    <t>汇总白板</t>
    <phoneticPr fontId="7" type="noConversion"/>
  </si>
  <si>
    <t>小外</t>
    <phoneticPr fontId="7" type="noConversion"/>
  </si>
  <si>
    <t>大外</t>
    <phoneticPr fontId="7" type="noConversion"/>
  </si>
  <si>
    <t>会心</t>
    <phoneticPr fontId="7" type="noConversion"/>
  </si>
  <si>
    <t>会意</t>
    <phoneticPr fontId="7" type="noConversion"/>
  </si>
  <si>
    <t>精准</t>
    <phoneticPr fontId="7" type="noConversion"/>
  </si>
  <si>
    <t>相和歌</t>
    <phoneticPr fontId="7" type="noConversion"/>
  </si>
  <si>
    <t>弦墨篇</t>
    <phoneticPr fontId="7" type="noConversion"/>
  </si>
  <si>
    <t>风知意</t>
    <phoneticPr fontId="7" type="noConversion"/>
  </si>
  <si>
    <t>裁云</t>
    <phoneticPr fontId="7" type="noConversion"/>
  </si>
  <si>
    <t>牵丝翊</t>
    <phoneticPr fontId="7" type="noConversion"/>
  </si>
  <si>
    <t>447最小裂石攻击</t>
  </si>
  <si>
    <t>447最小破竹攻击</t>
  </si>
  <si>
    <t>447最小牵丝攻击</t>
  </si>
  <si>
    <t>893最大鸣金攻击</t>
    <phoneticPr fontId="7" type="noConversion"/>
  </si>
  <si>
    <t>四时无常</t>
    <phoneticPr fontId="7" type="noConversion"/>
  </si>
  <si>
    <t>115级上半赛季</t>
    <phoneticPr fontId="7" type="noConversion"/>
  </si>
  <si>
    <t>外功攻击</t>
    <phoneticPr fontId="7" type="noConversion"/>
  </si>
  <si>
    <t>属性攻击</t>
    <phoneticPr fontId="7" type="noConversion"/>
  </si>
  <si>
    <t>精准率</t>
    <phoneticPr fontId="7" type="noConversion"/>
  </si>
  <si>
    <t>会心率</t>
    <phoneticPr fontId="7" type="noConversion"/>
  </si>
  <si>
    <t>会意率</t>
    <phoneticPr fontId="7" type="noConversion"/>
  </si>
  <si>
    <t>五维</t>
    <phoneticPr fontId="7" type="noConversion"/>
  </si>
  <si>
    <t>本武器增</t>
    <phoneticPr fontId="7" type="noConversion"/>
  </si>
  <si>
    <t>全武增</t>
    <phoneticPr fontId="7" type="noConversion"/>
  </si>
  <si>
    <t>对单位增</t>
    <phoneticPr fontId="7" type="noConversion"/>
  </si>
  <si>
    <t>全奇术增</t>
    <phoneticPr fontId="7" type="noConversion"/>
  </si>
  <si>
    <t>全体奇术增伤</t>
    <phoneticPr fontId="7" type="noConversion"/>
  </si>
  <si>
    <t>外功定音</t>
    <phoneticPr fontId="7" type="noConversion"/>
  </si>
  <si>
    <t>无相定音</t>
    <phoneticPr fontId="7" type="noConversion"/>
  </si>
  <si>
    <t>防具定音</t>
    <phoneticPr fontId="7" type="noConversion"/>
  </si>
  <si>
    <t>小外</t>
    <phoneticPr fontId="7" type="noConversion"/>
  </si>
  <si>
    <t>两件套加成</t>
    <phoneticPr fontId="7" type="noConversion"/>
  </si>
  <si>
    <t>主副武器</t>
    <phoneticPr fontId="7" type="noConversion"/>
  </si>
  <si>
    <t>环</t>
    <phoneticPr fontId="7" type="noConversion"/>
  </si>
  <si>
    <t>佩</t>
    <phoneticPr fontId="7" type="noConversion"/>
  </si>
  <si>
    <t>大外</t>
    <phoneticPr fontId="7" type="noConversion"/>
  </si>
  <si>
    <t>精准率</t>
    <phoneticPr fontId="7" type="noConversion"/>
  </si>
  <si>
    <t>会心率</t>
    <phoneticPr fontId="7" type="noConversion"/>
  </si>
  <si>
    <t>会意率</t>
    <phoneticPr fontId="7" type="noConversion"/>
  </si>
  <si>
    <t>装备额外数值</t>
    <phoneticPr fontId="7" type="noConversion"/>
  </si>
  <si>
    <t>装备基础数值</t>
    <phoneticPr fontId="7" type="noConversion"/>
  </si>
  <si>
    <t>倾觞</t>
    <phoneticPr fontId="7" type="noConversion"/>
  </si>
  <si>
    <t>各心法数值</t>
    <phoneticPr fontId="7" type="noConversion"/>
  </si>
  <si>
    <t>直接会心率</t>
    <phoneticPr fontId="7" type="noConversion"/>
  </si>
  <si>
    <t>直接会意率</t>
    <phoneticPr fontId="7" type="noConversion"/>
  </si>
  <si>
    <t>会心伤害加成</t>
    <phoneticPr fontId="7" type="noConversion"/>
  </si>
  <si>
    <t>会意伤害加成</t>
    <phoneticPr fontId="7" type="noConversion"/>
  </si>
  <si>
    <t>会心治疗加成</t>
    <phoneticPr fontId="7" type="noConversion"/>
  </si>
  <si>
    <t>属攻穿透</t>
    <phoneticPr fontId="7" type="noConversion"/>
  </si>
  <si>
    <t>属攻伤害加成</t>
    <phoneticPr fontId="7" type="noConversion"/>
  </si>
  <si>
    <t>外功穿透</t>
    <phoneticPr fontId="7" type="noConversion"/>
  </si>
  <si>
    <t>外功伤害加成</t>
    <phoneticPr fontId="7" type="noConversion"/>
  </si>
  <si>
    <t>金色本流派</t>
    <phoneticPr fontId="7" type="noConversion"/>
  </si>
  <si>
    <t>紫色本流派</t>
    <phoneticPr fontId="7" type="noConversion"/>
  </si>
  <si>
    <t>金色通用</t>
    <phoneticPr fontId="7" type="noConversion"/>
  </si>
  <si>
    <t>紫色通用</t>
    <phoneticPr fontId="7" type="noConversion"/>
  </si>
  <si>
    <t>蓝色通用</t>
    <phoneticPr fontId="7" type="noConversion"/>
  </si>
  <si>
    <t>小属攻</t>
    <phoneticPr fontId="7" type="noConversion"/>
  </si>
  <si>
    <t>大属攻</t>
    <phoneticPr fontId="7" type="noConversion"/>
  </si>
  <si>
    <t>外功治疗加成</t>
    <phoneticPr fontId="7" type="noConversion"/>
  </si>
  <si>
    <t>外功攻击下限</t>
    <phoneticPr fontId="7" type="noConversion"/>
  </si>
  <si>
    <t>外功攻击上限</t>
    <phoneticPr fontId="7" type="noConversion"/>
  </si>
  <si>
    <t>无相攻击下限</t>
    <phoneticPr fontId="7" type="noConversion"/>
  </si>
  <si>
    <t>无相攻击上限</t>
    <phoneticPr fontId="7" type="noConversion"/>
  </si>
  <si>
    <t>无名剑法大外</t>
    <phoneticPr fontId="7" type="noConversion"/>
  </si>
  <si>
    <t>寸草心</t>
    <phoneticPr fontId="7" type="noConversion"/>
  </si>
  <si>
    <t>一醉千秋</t>
    <phoneticPr fontId="7" type="noConversion"/>
  </si>
  <si>
    <t>大卷微身</t>
    <phoneticPr fontId="7" type="noConversion"/>
  </si>
  <si>
    <t>飞仙醉言</t>
    <phoneticPr fontId="7" type="noConversion"/>
  </si>
  <si>
    <t>燕别云岫</t>
    <phoneticPr fontId="7" type="noConversion"/>
  </si>
  <si>
    <t>各流派天赋数值</t>
    <phoneticPr fontId="7" type="noConversion"/>
  </si>
  <si>
    <t>五维需求</t>
    <phoneticPr fontId="7" type="noConversion"/>
  </si>
  <si>
    <t>劲</t>
    <phoneticPr fontId="7" type="noConversion"/>
  </si>
  <si>
    <t>势</t>
    <phoneticPr fontId="7" type="noConversion"/>
  </si>
  <si>
    <t>敏</t>
    <phoneticPr fontId="7" type="noConversion"/>
  </si>
  <si>
    <t>破竹樽</t>
    <phoneticPr fontId="7" type="noConversion"/>
  </si>
  <si>
    <t>人物天赋</t>
    <phoneticPr fontId="10" type="noConversion"/>
  </si>
  <si>
    <t>大外</t>
    <phoneticPr fontId="10" type="noConversion"/>
  </si>
  <si>
    <t>小外</t>
    <phoneticPr fontId="10" type="noConversion"/>
  </si>
  <si>
    <t>精准</t>
    <phoneticPr fontId="10" type="noConversion"/>
  </si>
  <si>
    <t>会心</t>
    <phoneticPr fontId="10" type="noConversion"/>
  </si>
  <si>
    <t>会意</t>
    <phoneticPr fontId="10" type="noConversion"/>
  </si>
  <si>
    <t>会心伤害加成</t>
    <phoneticPr fontId="10" type="noConversion"/>
  </si>
  <si>
    <t>会意伤害加成</t>
    <phoneticPr fontId="10" type="noConversion"/>
  </si>
  <si>
    <t>五维</t>
    <phoneticPr fontId="10" type="noConversion"/>
  </si>
  <si>
    <t>小无相</t>
    <phoneticPr fontId="10" type="noConversion"/>
  </si>
  <si>
    <t>大无相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</si>
</sst>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.00_);[Red]\(0.00\)"/>
    <numFmt numFmtId="178" formatCode="0_);[Red]\(0\)"/>
    <numFmt numFmtId="179" formatCode="0.0_ "/>
  </numFmts>
  <fonts count="12" x14ac:knownFonts="1">
    <font>
      <sz val="11"/>
      <color theme="1"/>
      <name val="微软雅黑"/>
      <family val="2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  <scheme val="minor"/>
    </font>
    <font>
      <sz val="9"/>
      <name val="微软雅黑"/>
      <family val="2"/>
      <charset val="134"/>
      <scheme val="minor"/>
    </font>
    <font>
      <sz val="11"/>
      <color theme="1"/>
      <name val="微软雅黑"/>
      <family val="3"/>
      <charset val="134"/>
      <scheme val="minor"/>
    </font>
    <font>
      <u/>
      <sz val="11"/>
      <color rgb="FF0000FF"/>
      <name val="微软雅黑"/>
      <family val="3"/>
      <charset val="134"/>
      <scheme val="minor"/>
    </font>
    <font>
      <sz val="9"/>
      <name val="微软雅黑"/>
      <family val="3"/>
      <charset val="134"/>
      <scheme val="minor"/>
    </font>
    <font>
      <sz val="11"/>
      <color rgb="FF000000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DEBFF"/>
      </patternFill>
    </fill>
    <fill>
      <patternFill patternType="none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3">
      <alignment vertical="center"/>
    </xf>
    <xf numFmtId="0" fontId="8" fillId="8" borderId="3">
      <alignment vertical="center"/>
    </xf>
    <xf numFmtId="0" fontId="9" fillId="8" borderId="3" applyNumberFormat="0" applyFill="0" applyBorder="0" applyAlignment="0" applyProtection="0">
      <alignment vertical="center"/>
    </xf>
  </cellStyleXfs>
  <cellXfs count="75">
    <xf numFmtId="0" fontId="0" fillId="0" borderId="0" xfId="0" applyBorder="1">
      <alignment vertical="center"/>
    </xf>
    <xf numFmtId="0" fontId="1" fillId="0" borderId="3" xfId="0" applyFont="1">
      <alignment vertical="center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3" xfId="0" applyNumberFormat="1" applyFont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>
      <alignment vertical="center"/>
    </xf>
    <xf numFmtId="10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3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0" fontId="6" fillId="0" borderId="3" xfId="0" applyNumberFormat="1" applyFont="1">
      <alignment vertical="center"/>
    </xf>
    <xf numFmtId="0" fontId="5" fillId="7" borderId="2" xfId="0" applyFont="1" applyFill="1" applyBorder="1" applyAlignment="1">
      <alignment horizontal="center" vertical="center"/>
    </xf>
    <xf numFmtId="0" fontId="3" fillId="8" borderId="3" xfId="0" applyFont="1" applyFill="1">
      <alignment vertical="center"/>
    </xf>
    <xf numFmtId="0" fontId="3" fillId="0" borderId="3" xfId="0" applyFont="1" applyAlignment="1">
      <alignment horizontal="left" vertical="center" wrapText="1"/>
    </xf>
    <xf numFmtId="176" fontId="3" fillId="0" borderId="3" xfId="0" applyNumberFormat="1" applyFont="1" applyAlignment="1">
      <alignment horizontal="left" vertical="center" wrapText="1"/>
    </xf>
    <xf numFmtId="10" fontId="3" fillId="0" borderId="3" xfId="0" applyNumberFormat="1" applyFont="1" applyAlignment="1">
      <alignment horizontal="left" vertical="center" wrapText="1"/>
    </xf>
    <xf numFmtId="0" fontId="0" fillId="0" borderId="3" xfId="0">
      <alignment vertical="center"/>
    </xf>
    <xf numFmtId="0" fontId="3" fillId="0" borderId="3" xfId="0" applyFont="1" applyAlignment="1">
      <alignment horizontal="center" vertical="center"/>
    </xf>
    <xf numFmtId="10" fontId="3" fillId="0" borderId="3" xfId="0" applyNumberFormat="1" applyFont="1" applyAlignment="1">
      <alignment horizontal="center" vertical="center"/>
    </xf>
    <xf numFmtId="0" fontId="8" fillId="0" borderId="3" xfId="0" applyFont="1">
      <alignment vertical="center"/>
    </xf>
    <xf numFmtId="0" fontId="11" fillId="0" borderId="3" xfId="0" applyFont="1">
      <alignment vertical="center"/>
    </xf>
    <xf numFmtId="0" fontId="3" fillId="8" borderId="3" xfId="0" applyFont="1" applyFill="1" applyAlignment="1">
      <alignment horizontal="center" vertical="center"/>
    </xf>
    <xf numFmtId="177" fontId="3" fillId="8" borderId="3" xfId="0" applyNumberFormat="1" applyFont="1" applyFill="1">
      <alignment vertical="center"/>
    </xf>
    <xf numFmtId="178" fontId="3" fillId="8" borderId="3" xfId="0" applyNumberFormat="1" applyFont="1" applyFill="1" applyAlignment="1">
      <alignment horizontal="center" vertical="center"/>
    </xf>
    <xf numFmtId="178" fontId="3" fillId="8" borderId="3" xfId="0" applyNumberFormat="1" applyFont="1" applyFill="1">
      <alignment vertical="center"/>
    </xf>
    <xf numFmtId="176" fontId="0" fillId="0" borderId="0" xfId="0" applyNumberFormat="1" applyBorder="1">
      <alignment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6" fillId="0" borderId="3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10" fontId="6" fillId="0" borderId="3" xfId="0" applyNumberFormat="1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6" fillId="0" borderId="3" xfId="0" applyFont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10" fontId="6" fillId="0" borderId="8" xfId="0" applyNumberFormat="1" applyFon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10" fontId="6" fillId="9" borderId="3" xfId="0" applyNumberFormat="1" applyFont="1" applyFill="1" applyAlignment="1">
      <alignment horizontal="center" vertical="center"/>
    </xf>
    <xf numFmtId="0" fontId="6" fillId="9" borderId="3" xfId="0" applyFont="1" applyFill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8" fillId="8" borderId="3" xfId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0" fontId="3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10" fontId="3" fillId="8" borderId="2" xfId="0" applyNumberFormat="1" applyFont="1" applyFill="1" applyBorder="1" applyAlignment="1">
      <alignment horizontal="center" vertical="center"/>
    </xf>
    <xf numFmtId="9" fontId="3" fillId="8" borderId="2" xfId="0" applyNumberFormat="1" applyFont="1" applyFill="1" applyBorder="1" applyAlignment="1">
      <alignment horizontal="center" vertical="center"/>
    </xf>
    <xf numFmtId="179" fontId="0" fillId="8" borderId="2" xfId="0" applyNumberFormat="1" applyFill="1" applyBorder="1" applyAlignment="1">
      <alignment horizontal="center" vertical="center"/>
    </xf>
    <xf numFmtId="10" fontId="0" fillId="8" borderId="2" xfId="0" applyNumberFormat="1" applyFill="1" applyBorder="1" applyAlignment="1">
      <alignment horizontal="center" vertical="center"/>
    </xf>
  </cellXfs>
  <cellStyles count="3">
    <cellStyle name="常规" xfId="0" builtinId="0"/>
    <cellStyle name="常规 2" xfId="1" xr:uid="{CC6A4D4B-8491-419E-B3C6-A1477499BE92}"/>
    <cellStyle name="超链接 2" xfId="2" xr:uid="{C2B86407-F677-4E5C-956F-2DA0C5BED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onsolas-Verdana">
      <a:majorFont>
        <a:latin typeface="Consolas" panose="020B0609020204030204"/>
        <a:ea typeface=""/>
        <a:cs typeface=""/>
        <a:font script="Jpan" typeface="HG丸ｺﾞｼｯｸM-PRO"/>
        <a:font script="Hang" typeface="HY중고딕"/>
        <a:font script="Hans" typeface="华文楷体"/>
        <a:font script="Hant" typeface="新細明體"/>
        <a:font script="Arab" typeface="Tahoma"/>
        <a:font script="Hebr" typeface="Levenim MT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Verdana" panose="020B0604030504040204"/>
        <a:ea typeface=""/>
        <a:cs typeface=""/>
        <a:font script="Jpan" typeface="ＭＳ ゴシック"/>
        <a:font script="Hang" typeface="굴림"/>
        <a:font script="Hans" typeface="微软雅黑"/>
        <a:font script="Hant" typeface="微軟正黑體"/>
        <a:font script="Arab" typeface="Tahoma"/>
        <a:font script="Hebr" typeface="Tahoma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"/>
  <sheetViews>
    <sheetView workbookViewId="0">
      <selection activeCell="I18" sqref="I18"/>
    </sheetView>
  </sheetViews>
  <sheetFormatPr defaultRowHeight="15.6" x14ac:dyDescent="0.35"/>
  <cols>
    <col min="1" max="1" width="15.7265625" customWidth="1"/>
    <col min="2" max="9" width="10.7265625" customWidth="1"/>
  </cols>
  <sheetData>
    <row r="1" spans="1:12" ht="17.399999999999999" customHeight="1" x14ac:dyDescent="0.35">
      <c r="A1" s="39" t="s">
        <v>99</v>
      </c>
      <c r="B1" s="39"/>
      <c r="C1" s="39"/>
      <c r="D1" s="39"/>
      <c r="E1" s="39"/>
      <c r="F1" s="39"/>
      <c r="G1" s="39"/>
      <c r="H1" s="39"/>
      <c r="I1" s="39"/>
    </row>
    <row r="2" spans="1:12" ht="17.399999999999999" customHeight="1" x14ac:dyDescent="0.35">
      <c r="A2" s="39"/>
      <c r="B2" s="39"/>
      <c r="C2" s="39"/>
      <c r="D2" s="39"/>
      <c r="E2" s="39"/>
      <c r="F2" s="39"/>
      <c r="G2" s="39"/>
      <c r="H2" s="39"/>
      <c r="I2" s="39"/>
    </row>
    <row r="3" spans="1:12" ht="17.399999999999999" customHeight="1" x14ac:dyDescent="0.35">
      <c r="A3" s="39" t="s">
        <v>142</v>
      </c>
      <c r="B3" s="39"/>
      <c r="C3" s="39"/>
      <c r="D3" s="39"/>
      <c r="E3" s="39"/>
      <c r="F3" s="39"/>
      <c r="G3" s="39"/>
      <c r="H3" s="39"/>
      <c r="I3" s="39"/>
    </row>
    <row r="4" spans="1:12" ht="17.399999999999999" customHeight="1" x14ac:dyDescent="0.35">
      <c r="A4" s="39"/>
      <c r="B4" s="39"/>
      <c r="C4" s="39"/>
      <c r="D4" s="39"/>
      <c r="E4" s="39"/>
      <c r="F4" s="39"/>
      <c r="G4" s="39"/>
      <c r="H4" s="39"/>
      <c r="I4" s="39"/>
    </row>
    <row r="5" spans="1:12" ht="17.399999999999999" customHeight="1" x14ac:dyDescent="0.35">
      <c r="A5" s="3"/>
      <c r="B5" s="20"/>
      <c r="C5" s="20"/>
      <c r="D5" s="20"/>
      <c r="E5" s="20"/>
      <c r="F5" s="20"/>
      <c r="G5" s="3"/>
      <c r="H5" s="3"/>
      <c r="I5" s="3"/>
    </row>
    <row r="6" spans="1:12" ht="17.399999999999999" customHeight="1" x14ac:dyDescent="0.35">
      <c r="A6" s="39" t="s">
        <v>100</v>
      </c>
      <c r="B6" s="39"/>
      <c r="C6" s="39"/>
      <c r="D6" s="39"/>
      <c r="E6" s="39"/>
      <c r="F6" s="39"/>
      <c r="G6" s="3"/>
      <c r="H6" s="40" t="s">
        <v>101</v>
      </c>
      <c r="I6" s="40"/>
    </row>
    <row r="7" spans="1:12" ht="17.399999999999999" customHeight="1" x14ac:dyDescent="0.35">
      <c r="A7" s="4">
        <v>304</v>
      </c>
      <c r="B7" s="2" t="s">
        <v>9</v>
      </c>
      <c r="C7" s="2" t="s">
        <v>19</v>
      </c>
      <c r="D7" s="2" t="s">
        <v>13</v>
      </c>
      <c r="E7" s="2" t="s">
        <v>3</v>
      </c>
      <c r="F7" s="2" t="s">
        <v>5</v>
      </c>
      <c r="G7" s="3"/>
      <c r="H7" s="5" t="s">
        <v>102</v>
      </c>
      <c r="I7" s="3"/>
      <c r="J7" s="1"/>
      <c r="L7" t="s">
        <v>148</v>
      </c>
    </row>
    <row r="8" spans="1:12" ht="17.399999999999999" customHeight="1" x14ac:dyDescent="0.35">
      <c r="A8" s="2" t="s">
        <v>4</v>
      </c>
      <c r="B8" s="4" cm="1">
        <f t="array" ref="B8">_xlfn.IFS(A7&lt;&gt;"", A7*0.225, B5&lt;&gt;"", B5*0.225, TRUE, 0)</f>
        <v>68.400000000000006</v>
      </c>
      <c r="C8" s="4"/>
      <c r="D8" s="4" cm="1">
        <f t="array" ref="D8">_xlfn.IFS(A7&lt;&gt;"", A7*0.9, D5&lt;&gt;"", D5*0.9, TRUE, 0)</f>
        <v>273.60000000000002</v>
      </c>
      <c r="E8" s="4"/>
      <c r="F8" s="4"/>
      <c r="G8" s="21">
        <f>B8+D8</f>
        <v>342</v>
      </c>
      <c r="H8" s="5" t="s">
        <v>103</v>
      </c>
      <c r="I8" s="3"/>
      <c r="J8" s="1"/>
      <c r="K8" t="s">
        <v>149</v>
      </c>
      <c r="L8" s="32">
        <f>G8+随等级成长的基础数据!B2</f>
        <v>1352.6</v>
      </c>
    </row>
    <row r="9" spans="1:12" ht="17.399999999999999" customHeight="1" x14ac:dyDescent="0.35">
      <c r="A9" s="2" t="s">
        <v>2</v>
      </c>
      <c r="B9" s="4" cm="1">
        <f t="array" ref="B9">_xlfn.IFS(A7&lt;&gt;"", A7*1.36, B5&lt;&gt;"", B5*1.36, TRUE, 0)</f>
        <v>413.44000000000005</v>
      </c>
      <c r="C9" s="4" cm="1">
        <f t="array" ref="C9">_xlfn.IFS(A7&lt;&gt;"", A7*0.9, C5&lt;&gt;"", C5*0.9, TRUE, 0)</f>
        <v>273.60000000000002</v>
      </c>
      <c r="D9" s="4"/>
      <c r="E9" s="4"/>
      <c r="F9" s="4"/>
      <c r="G9" s="21">
        <f>B9+C9</f>
        <v>687.04000000000008</v>
      </c>
      <c r="H9" s="5" t="s">
        <v>104</v>
      </c>
      <c r="I9" s="3"/>
      <c r="J9" s="1"/>
      <c r="K9" t="s">
        <v>150</v>
      </c>
      <c r="L9" s="32">
        <f>G9+随等级成长的基础数据!B3</f>
        <v>2509.04</v>
      </c>
    </row>
    <row r="10" spans="1:12" ht="17.399999999999999" customHeight="1" x14ac:dyDescent="0.35">
      <c r="A10" s="2" t="s">
        <v>29</v>
      </c>
      <c r="B10" s="6"/>
      <c r="C10" s="6"/>
      <c r="D10" s="6" cm="1">
        <f t="array" ref="D10">_xlfn.IFS(A7&lt;&gt;"", A7*0.076%, D5&lt;&gt;"", D5*0.076%, TRUE, 0)</f>
        <v>0.23103999999999997</v>
      </c>
      <c r="E10" s="6"/>
      <c r="F10" s="6"/>
      <c r="G10" s="22">
        <f>D10</f>
        <v>0.23103999999999997</v>
      </c>
      <c r="H10" s="5" t="s">
        <v>105</v>
      </c>
      <c r="I10" s="3"/>
      <c r="J10" s="1"/>
      <c r="K10" t="s">
        <v>151</v>
      </c>
    </row>
    <row r="11" spans="1:12" ht="17.399999999999999" x14ac:dyDescent="0.35">
      <c r="A11" s="7" t="s">
        <v>33</v>
      </c>
      <c r="B11" s="6"/>
      <c r="C11" s="6" cm="1">
        <f t="array" ref="C11">_xlfn.IFS(A7&lt;&gt;"", A7*0.038%, C5&lt;&gt;"", C5*0.038%, TRUE, 0)</f>
        <v>0.11551999999999998</v>
      </c>
      <c r="D11" s="6"/>
      <c r="E11" s="6"/>
      <c r="F11" s="6"/>
      <c r="G11" s="22">
        <f>C11</f>
        <v>0.11551999999999998</v>
      </c>
      <c r="H11" s="5" t="s">
        <v>106</v>
      </c>
      <c r="I11" s="8"/>
      <c r="J11" s="1"/>
      <c r="K11" t="s">
        <v>152</v>
      </c>
    </row>
    <row r="12" spans="1:12" ht="17.399999999999999" x14ac:dyDescent="0.35">
      <c r="A12" s="7" t="s">
        <v>107</v>
      </c>
      <c r="B12" s="4"/>
      <c r="C12" s="4"/>
      <c r="D12" s="4"/>
      <c r="E12" s="4">
        <f>60*A7</f>
        <v>18240</v>
      </c>
      <c r="F12" s="4">
        <f>17*A7</f>
        <v>5168</v>
      </c>
      <c r="G12" s="21"/>
      <c r="H12" s="8"/>
      <c r="I12" s="8"/>
      <c r="K12" t="s">
        <v>153</v>
      </c>
    </row>
    <row r="13" spans="1:12" ht="17.399999999999999" x14ac:dyDescent="0.35">
      <c r="A13" s="7" t="s">
        <v>108</v>
      </c>
      <c r="B13" s="4"/>
      <c r="C13" s="4"/>
      <c r="D13" s="4"/>
      <c r="E13" s="4"/>
      <c r="F13" s="4">
        <f>0.5*A7</f>
        <v>152</v>
      </c>
      <c r="G13" s="21"/>
      <c r="H13" s="8"/>
      <c r="I13" s="8"/>
    </row>
    <row r="14" spans="1:12" ht="17.399999999999999" x14ac:dyDescent="0.35">
      <c r="A14" s="8"/>
      <c r="B14" s="8"/>
      <c r="C14" s="8"/>
      <c r="D14" s="8"/>
      <c r="E14" s="8"/>
      <c r="F14" s="8"/>
      <c r="G14" s="8"/>
      <c r="H14" s="8"/>
      <c r="I14" s="8"/>
    </row>
    <row r="15" spans="1:12" ht="17.399999999999999" x14ac:dyDescent="0.35">
      <c r="A15" s="8"/>
      <c r="B15" s="8"/>
      <c r="C15" s="8"/>
      <c r="D15" s="8"/>
    </row>
    <row r="16" spans="1:12" ht="17.399999999999999" x14ac:dyDescent="0.35">
      <c r="A16" s="8"/>
      <c r="B16" s="8"/>
      <c r="C16" s="8"/>
      <c r="D16" s="8"/>
    </row>
    <row r="17" spans="1:4" ht="17.399999999999999" x14ac:dyDescent="0.35">
      <c r="A17" s="8"/>
      <c r="B17" s="8"/>
      <c r="C17" s="8"/>
      <c r="D17" s="8"/>
    </row>
    <row r="18" spans="1:4" ht="17.399999999999999" x14ac:dyDescent="0.35">
      <c r="A18" s="8"/>
      <c r="B18" s="8"/>
      <c r="C18" s="8"/>
      <c r="D18" s="8"/>
    </row>
    <row r="19" spans="1:4" ht="17.399999999999999" x14ac:dyDescent="0.35">
      <c r="A19" s="8"/>
      <c r="B19" s="8"/>
      <c r="C19" s="8"/>
      <c r="D19" s="8"/>
    </row>
  </sheetData>
  <mergeCells count="4">
    <mergeCell ref="A1:I2"/>
    <mergeCell ref="A3:I4"/>
    <mergeCell ref="A6:F6"/>
    <mergeCell ref="H6:I6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32"/>
  <sheetViews>
    <sheetView workbookViewId="0">
      <pane xSplit="1" ySplit="1" topLeftCell="B2" activePane="bottomRight" state="frozen"/>
      <selection pane="topRight"/>
      <selection pane="bottomLeft"/>
      <selection pane="bottomRight" activeCell="E20" sqref="E20"/>
    </sheetView>
  </sheetViews>
  <sheetFormatPr defaultRowHeight="17.399999999999999" x14ac:dyDescent="0.35"/>
  <cols>
    <col min="1" max="7" width="15.7265625" style="19" customWidth="1"/>
    <col min="8" max="26" width="8.90625" style="19"/>
  </cols>
  <sheetData>
    <row r="1" spans="1:17" s="19" customFormat="1" x14ac:dyDescent="0.35">
      <c r="A1" s="9"/>
      <c r="B1" s="10" t="s">
        <v>98</v>
      </c>
      <c r="C1" s="10" t="s">
        <v>109</v>
      </c>
      <c r="D1" s="10" t="s">
        <v>87</v>
      </c>
      <c r="E1" s="10" t="s">
        <v>88</v>
      </c>
      <c r="F1" s="10" t="s">
        <v>110</v>
      </c>
      <c r="G1" s="10" t="s">
        <v>94</v>
      </c>
    </row>
    <row r="2" spans="1:17" x14ac:dyDescent="0.35">
      <c r="A2" s="11" t="s">
        <v>4</v>
      </c>
      <c r="B2" s="9">
        <f>SUM(C2:G2)</f>
        <v>1010.6</v>
      </c>
      <c r="C2" s="9">
        <f>263+122</f>
        <v>385</v>
      </c>
      <c r="D2" s="9">
        <f>C22</f>
        <v>158.39999999999998</v>
      </c>
      <c r="E2" s="9"/>
      <c r="F2" s="9">
        <f>8+16+8+8+4+13.2+4+12*3</f>
        <v>97.2</v>
      </c>
      <c r="G2" s="9">
        <f>185*2</f>
        <v>370</v>
      </c>
    </row>
    <row r="3" spans="1:17" x14ac:dyDescent="0.35">
      <c r="A3" s="11" t="s">
        <v>2</v>
      </c>
      <c r="B3" s="9">
        <f>SUM(C3:G3)</f>
        <v>1822</v>
      </c>
      <c r="C3" s="9">
        <f>506+244</f>
        <v>750</v>
      </c>
      <c r="D3" s="9">
        <f>C21</f>
        <v>184.79999999999998</v>
      </c>
      <c r="E3" s="9"/>
      <c r="F3" s="9">
        <f>16+24+16+16+8+13.2+4+4+12*4</f>
        <v>149.19999999999999</v>
      </c>
      <c r="G3" s="9">
        <f>123*2+246*2</f>
        <v>738</v>
      </c>
    </row>
    <row r="4" spans="1:17" x14ac:dyDescent="0.35">
      <c r="A4" s="11" t="s">
        <v>22</v>
      </c>
      <c r="B4" s="9">
        <f>E4</f>
        <v>211</v>
      </c>
      <c r="C4" s="9"/>
      <c r="D4" s="9"/>
      <c r="E4" s="9">
        <v>211</v>
      </c>
      <c r="F4" s="9"/>
      <c r="G4" s="9"/>
    </row>
    <row r="5" spans="1:17" x14ac:dyDescent="0.35">
      <c r="A5" s="11" t="s">
        <v>18</v>
      </c>
      <c r="B5" s="9">
        <f>E5</f>
        <v>423</v>
      </c>
      <c r="C5" s="9"/>
      <c r="D5" s="9"/>
      <c r="E5" s="9">
        <v>423</v>
      </c>
      <c r="F5" s="9"/>
      <c r="G5" s="9"/>
    </row>
    <row r="6" spans="1:17" x14ac:dyDescent="0.35">
      <c r="A6" s="11" t="s">
        <v>12</v>
      </c>
      <c r="B6" s="9">
        <f>D6</f>
        <v>79.199999999999989</v>
      </c>
      <c r="C6" s="9"/>
      <c r="D6" s="9">
        <f>C30</f>
        <v>79.199999999999989</v>
      </c>
      <c r="E6" s="9"/>
      <c r="F6" s="9"/>
      <c r="G6" s="9"/>
    </row>
    <row r="7" spans="1:17" x14ac:dyDescent="0.35">
      <c r="A7" s="11" t="s">
        <v>8</v>
      </c>
      <c r="B7" s="9">
        <f>D7</f>
        <v>92.399999999999991</v>
      </c>
      <c r="C7" s="9"/>
      <c r="D7" s="9">
        <f>C29</f>
        <v>92.399999999999991</v>
      </c>
      <c r="E7" s="9"/>
      <c r="F7" s="9"/>
      <c r="G7" s="9"/>
    </row>
    <row r="8" spans="1:17" x14ac:dyDescent="0.35">
      <c r="A8" s="11" t="s">
        <v>26</v>
      </c>
      <c r="B8" s="12">
        <f>C8+D8</f>
        <v>0.48399999999999999</v>
      </c>
      <c r="C8" s="12">
        <v>0.27400000000000002</v>
      </c>
      <c r="D8" s="12">
        <f>C23</f>
        <v>0.21</v>
      </c>
      <c r="E8" s="12"/>
      <c r="F8" s="12"/>
      <c r="G8" s="12"/>
    </row>
    <row r="9" spans="1:17" x14ac:dyDescent="0.35">
      <c r="A9" s="11" t="s">
        <v>29</v>
      </c>
      <c r="B9" s="12">
        <f>D9</f>
        <v>0.28000000000000003</v>
      </c>
      <c r="C9" s="12"/>
      <c r="D9" s="12">
        <f>C24</f>
        <v>0.28000000000000003</v>
      </c>
      <c r="E9" s="12"/>
      <c r="F9" s="12"/>
      <c r="G9" s="12"/>
    </row>
    <row r="10" spans="1:17" x14ac:dyDescent="0.35">
      <c r="A10" s="11" t="s">
        <v>33</v>
      </c>
      <c r="B10" s="12">
        <f>D10</f>
        <v>0.14000000000000001</v>
      </c>
      <c r="C10" s="12"/>
      <c r="D10" s="12">
        <f>C25</f>
        <v>0.14000000000000001</v>
      </c>
      <c r="E10" s="12"/>
      <c r="F10" s="12"/>
      <c r="G10" s="12"/>
    </row>
    <row r="11" spans="1:17" x14ac:dyDescent="0.35">
      <c r="A11" s="11" t="s">
        <v>52</v>
      </c>
      <c r="B11" s="12"/>
      <c r="C11" s="12"/>
      <c r="D11" s="12"/>
      <c r="E11" s="12"/>
      <c r="F11" s="12"/>
      <c r="G11" s="12"/>
    </row>
    <row r="12" spans="1:17" x14ac:dyDescent="0.35">
      <c r="A12" s="11" t="s">
        <v>55</v>
      </c>
      <c r="B12" s="12"/>
      <c r="C12" s="12"/>
      <c r="D12" s="12"/>
      <c r="E12" s="12"/>
      <c r="F12" s="12"/>
      <c r="G12" s="12"/>
    </row>
    <row r="13" spans="1:17" x14ac:dyDescent="0.35">
      <c r="A13" s="11" t="s">
        <v>68</v>
      </c>
      <c r="B13" s="12">
        <f>0.35+D13</f>
        <v>0.5</v>
      </c>
      <c r="C13" s="12"/>
      <c r="D13" s="12">
        <f>C26</f>
        <v>0.15000000000000002</v>
      </c>
      <c r="E13" s="12"/>
      <c r="F13" s="12"/>
      <c r="G13" s="12"/>
      <c r="P13" s="19">
        <v>3</v>
      </c>
      <c r="Q13" s="19">
        <f>SUM(L13:P13)</f>
        <v>3</v>
      </c>
    </row>
    <row r="14" spans="1:17" x14ac:dyDescent="0.35">
      <c r="A14" s="11" t="s">
        <v>71</v>
      </c>
      <c r="B14" s="12">
        <f>0.2+D14</f>
        <v>0.35000000000000003</v>
      </c>
      <c r="C14" s="12"/>
      <c r="D14" s="12">
        <f>C27</f>
        <v>0.15000000000000002</v>
      </c>
      <c r="E14" s="12"/>
      <c r="F14" s="12"/>
      <c r="G14" s="12"/>
    </row>
    <row r="15" spans="1:17" x14ac:dyDescent="0.35">
      <c r="A15" s="11" t="s">
        <v>0</v>
      </c>
      <c r="B15" s="9">
        <f>C15+D15</f>
        <v>304</v>
      </c>
      <c r="C15" s="9">
        <v>262</v>
      </c>
      <c r="D15" s="9">
        <f>C28</f>
        <v>42</v>
      </c>
      <c r="E15" s="9"/>
      <c r="F15" s="9"/>
      <c r="G15" s="9"/>
    </row>
    <row r="16" spans="1:17" x14ac:dyDescent="0.35">
      <c r="A16" s="11" t="s">
        <v>62</v>
      </c>
      <c r="B16" s="13">
        <f>1+C16</f>
        <v>2.8</v>
      </c>
      <c r="C16" s="13">
        <v>1.8</v>
      </c>
      <c r="D16" s="9"/>
      <c r="E16" s="9"/>
      <c r="F16" s="9"/>
      <c r="G16" s="9"/>
    </row>
    <row r="17" spans="1:26" x14ac:dyDescent="0.35">
      <c r="A17" s="11" t="s">
        <v>147</v>
      </c>
      <c r="B17" s="9">
        <v>559</v>
      </c>
      <c r="C17" s="9">
        <v>559</v>
      </c>
      <c r="D17" s="9"/>
      <c r="E17" s="9"/>
      <c r="F17" s="9"/>
      <c r="G17" s="9"/>
    </row>
    <row r="20" spans="1:26" x14ac:dyDescent="0.35">
      <c r="B20" s="70" t="s">
        <v>225</v>
      </c>
      <c r="C20" s="70"/>
      <c r="G20" s="27"/>
    </row>
    <row r="21" spans="1:26" x14ac:dyDescent="0.35">
      <c r="B21" s="70" t="s">
        <v>226</v>
      </c>
      <c r="C21" s="70">
        <f>13.2*(4+2+2+1+1+2+2)</f>
        <v>184.79999999999998</v>
      </c>
    </row>
    <row r="22" spans="1:26" x14ac:dyDescent="0.35">
      <c r="B22" s="70" t="s">
        <v>227</v>
      </c>
      <c r="C22" s="70">
        <f>13.2*(4+2+2+1+1+1+1)</f>
        <v>158.39999999999998</v>
      </c>
    </row>
    <row r="23" spans="1:26" x14ac:dyDescent="0.35">
      <c r="B23" s="70" t="s">
        <v>228</v>
      </c>
      <c r="C23" s="71">
        <f>3%*3+1.5%*8</f>
        <v>0.21</v>
      </c>
    </row>
    <row r="24" spans="1:26" x14ac:dyDescent="0.35">
      <c r="B24" s="70" t="s">
        <v>229</v>
      </c>
      <c r="C24" s="72">
        <f>4%*7</f>
        <v>0.28000000000000003</v>
      </c>
      <c r="D24" s="28"/>
      <c r="E24" s="28"/>
      <c r="F24" s="28"/>
      <c r="G24" s="28"/>
      <c r="H24" s="28"/>
      <c r="I24" s="28"/>
    </row>
    <row r="25" spans="1:26" x14ac:dyDescent="0.35">
      <c r="B25" s="70" t="s">
        <v>230</v>
      </c>
      <c r="C25" s="71">
        <f>2%*7</f>
        <v>0.14000000000000001</v>
      </c>
      <c r="D25" s="30"/>
      <c r="E25" s="30"/>
      <c r="F25" s="30"/>
      <c r="G25" s="31"/>
      <c r="H25" s="30"/>
      <c r="I25" s="30"/>
      <c r="J25" s="31"/>
    </row>
    <row r="26" spans="1:26" x14ac:dyDescent="0.35">
      <c r="B26" s="70" t="s">
        <v>231</v>
      </c>
      <c r="C26" s="71">
        <f>5%*3</f>
        <v>0.15000000000000002</v>
      </c>
      <c r="D26" s="30"/>
      <c r="E26" s="30"/>
      <c r="F26" s="30"/>
      <c r="G26" s="31"/>
      <c r="H26" s="30"/>
      <c r="I26" s="30"/>
      <c r="J26" s="31"/>
    </row>
    <row r="27" spans="1:26" x14ac:dyDescent="0.35">
      <c r="B27" s="70" t="s">
        <v>232</v>
      </c>
      <c r="C27" s="71">
        <f>5%*3</f>
        <v>0.15000000000000002</v>
      </c>
      <c r="H27" s="29"/>
    </row>
    <row r="28" spans="1:26" x14ac:dyDescent="0.35">
      <c r="B28" s="70" t="s">
        <v>233</v>
      </c>
      <c r="C28" s="70">
        <v>42</v>
      </c>
      <c r="H28" s="29"/>
    </row>
    <row r="29" spans="1:26" s="48" customFormat="1" x14ac:dyDescent="0.35">
      <c r="A29" s="19"/>
      <c r="B29" s="70" t="s">
        <v>235</v>
      </c>
      <c r="C29" s="70">
        <f>13.2*(1+1+1+1+1+1+1)</f>
        <v>92.399999999999991</v>
      </c>
      <c r="D29" s="19"/>
      <c r="E29" s="19"/>
      <c r="F29" s="19"/>
      <c r="G29" s="19"/>
      <c r="H29" s="2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x14ac:dyDescent="0.35">
      <c r="B30" s="70" t="s">
        <v>234</v>
      </c>
      <c r="C30" s="70">
        <f>13.2*(1+1+1+1+1+1)</f>
        <v>79.199999999999989</v>
      </c>
    </row>
    <row r="31" spans="1:26" x14ac:dyDescent="0.35">
      <c r="C31" s="23"/>
    </row>
    <row r="32" spans="1:26" x14ac:dyDescent="0.35">
      <c r="C32" s="26"/>
    </row>
  </sheetData>
  <phoneticPr fontId="10" type="noConversion"/>
  <pageMargins left="0.7" right="0.7" top="0.75" bottom="0.75" header="0.3" footer="0.3"/>
  <ignoredErrors>
    <ignoredError sqref="B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8"/>
  <sheetViews>
    <sheetView workbookViewId="0">
      <pane xSplit="1" ySplit="1" topLeftCell="B2" activePane="bottomRight" state="frozen"/>
      <selection pane="topRight"/>
      <selection pane="bottomLeft"/>
      <selection pane="bottomRight" activeCell="D28" sqref="D28"/>
    </sheetView>
  </sheetViews>
  <sheetFormatPr defaultRowHeight="15.6" x14ac:dyDescent="0.35"/>
  <cols>
    <col min="1" max="1" width="21.6328125" customWidth="1"/>
    <col min="2" max="8" width="18.7265625" customWidth="1"/>
    <col min="9" max="9" width="18.7265625" style="48" customWidth="1"/>
    <col min="10" max="12" width="18.7265625" customWidth="1"/>
  </cols>
  <sheetData>
    <row r="1" spans="1:14" ht="17.399999999999999" x14ac:dyDescent="0.35">
      <c r="A1" s="9"/>
      <c r="B1" s="10" t="s">
        <v>49</v>
      </c>
      <c r="C1" s="10" t="s">
        <v>43</v>
      </c>
      <c r="D1" s="10" t="s">
        <v>15</v>
      </c>
      <c r="E1" s="10" t="s">
        <v>1</v>
      </c>
      <c r="F1" s="10" t="s">
        <v>25</v>
      </c>
      <c r="G1" s="10" t="s">
        <v>32</v>
      </c>
      <c r="H1" s="10" t="s">
        <v>38</v>
      </c>
      <c r="I1" s="33" t="s">
        <v>224</v>
      </c>
      <c r="J1" s="10" t="s">
        <v>17</v>
      </c>
      <c r="K1" s="33" t="s">
        <v>7</v>
      </c>
      <c r="L1" s="10" t="s">
        <v>158</v>
      </c>
    </row>
    <row r="2" spans="1:14" ht="17.399999999999999" x14ac:dyDescent="0.35">
      <c r="A2" s="11" t="s">
        <v>4</v>
      </c>
      <c r="B2" s="9"/>
      <c r="C2" s="9"/>
      <c r="D2" s="9">
        <f>C30</f>
        <v>129.9</v>
      </c>
      <c r="E2" s="9">
        <f>C30</f>
        <v>129.9</v>
      </c>
      <c r="F2" s="9">
        <f>C30</f>
        <v>129.9</v>
      </c>
      <c r="G2" s="9">
        <f>C30</f>
        <v>129.9</v>
      </c>
      <c r="H2" s="9">
        <f>C30</f>
        <v>129.9</v>
      </c>
      <c r="I2" s="34">
        <f>C30</f>
        <v>129.9</v>
      </c>
      <c r="J2" s="9">
        <f>C30</f>
        <v>129.9</v>
      </c>
      <c r="K2" s="9">
        <f>C30</f>
        <v>129.9</v>
      </c>
      <c r="L2" s="9">
        <f>C30</f>
        <v>129.9</v>
      </c>
      <c r="M2" s="24"/>
      <c r="N2" s="23"/>
    </row>
    <row r="3" spans="1:14" ht="17.399999999999999" x14ac:dyDescent="0.35">
      <c r="A3" s="11" t="s">
        <v>2</v>
      </c>
      <c r="B3" s="9">
        <f>C31</f>
        <v>129.9</v>
      </c>
      <c r="C3" s="9">
        <f>C31</f>
        <v>129.9</v>
      </c>
      <c r="D3" s="9">
        <f>C31</f>
        <v>129.9</v>
      </c>
      <c r="E3" s="9"/>
      <c r="F3" s="9"/>
      <c r="G3" s="9"/>
      <c r="H3" s="9"/>
      <c r="I3" s="34"/>
      <c r="J3" s="9"/>
      <c r="K3" s="34"/>
      <c r="L3" s="9"/>
      <c r="M3" s="23"/>
      <c r="N3" s="23"/>
    </row>
    <row r="4" spans="1:14" ht="17.399999999999999" x14ac:dyDescent="0.35">
      <c r="A4" s="11" t="s">
        <v>29</v>
      </c>
      <c r="B4" s="12"/>
      <c r="C4" s="12"/>
      <c r="D4" s="12"/>
      <c r="E4" s="12">
        <f>C32</f>
        <v>0.15</v>
      </c>
      <c r="F4" s="12">
        <f>C32</f>
        <v>0.15</v>
      </c>
      <c r="G4" s="12">
        <f>C32</f>
        <v>0.15</v>
      </c>
      <c r="H4" s="12">
        <f>C32</f>
        <v>0.15</v>
      </c>
      <c r="I4" s="35">
        <f>C32</f>
        <v>0.15</v>
      </c>
      <c r="J4" s="12">
        <f>C32</f>
        <v>0.15</v>
      </c>
      <c r="K4" s="12">
        <f>C32</f>
        <v>0.15</v>
      </c>
      <c r="L4" s="12">
        <f>C32</f>
        <v>0.15</v>
      </c>
      <c r="M4" s="25"/>
      <c r="N4" s="23"/>
    </row>
    <row r="5" spans="1:14" ht="17.399999999999999" x14ac:dyDescent="0.35">
      <c r="A5" s="11" t="s">
        <v>33</v>
      </c>
      <c r="B5" s="12">
        <f>C33</f>
        <v>7.4999999999999997E-2</v>
      </c>
      <c r="C5" s="12">
        <f>C33</f>
        <v>7.4999999999999997E-2</v>
      </c>
      <c r="D5" s="12"/>
      <c r="E5" s="12"/>
      <c r="F5" s="12"/>
      <c r="G5" s="12"/>
      <c r="H5" s="12"/>
      <c r="I5" s="35"/>
      <c r="J5" s="12"/>
      <c r="K5" s="35"/>
      <c r="L5" s="12"/>
      <c r="M5" s="23"/>
      <c r="N5" s="23"/>
    </row>
    <row r="6" spans="1:14" ht="17.399999999999999" x14ac:dyDescent="0.35">
      <c r="A6" s="11" t="s">
        <v>111</v>
      </c>
      <c r="B6" s="9">
        <f>C34</f>
        <v>328</v>
      </c>
      <c r="C6" s="9">
        <f>C34</f>
        <v>328</v>
      </c>
      <c r="D6" s="9"/>
      <c r="E6" s="9"/>
      <c r="F6" s="9"/>
      <c r="G6" s="9"/>
      <c r="H6" s="9"/>
      <c r="I6" s="34"/>
      <c r="J6" s="9"/>
      <c r="K6" s="34"/>
      <c r="L6" s="9"/>
      <c r="M6" s="23"/>
      <c r="N6" s="23"/>
    </row>
    <row r="7" spans="1:14" ht="17.399999999999999" x14ac:dyDescent="0.35">
      <c r="A7" s="11" t="s">
        <v>112</v>
      </c>
      <c r="B7" s="9">
        <f>C35</f>
        <v>656</v>
      </c>
      <c r="C7" s="9">
        <f>C35</f>
        <v>656</v>
      </c>
      <c r="D7" s="9"/>
      <c r="E7" s="9"/>
      <c r="F7" s="9"/>
      <c r="G7" s="9"/>
      <c r="H7" s="9"/>
      <c r="I7" s="34"/>
      <c r="J7" s="9"/>
      <c r="K7" s="34"/>
      <c r="L7" s="9"/>
      <c r="M7" s="23"/>
      <c r="N7" s="23"/>
    </row>
    <row r="8" spans="1:14" ht="17.399999999999999" x14ac:dyDescent="0.35">
      <c r="A8" s="11" t="s">
        <v>113</v>
      </c>
      <c r="B8" s="9"/>
      <c r="C8" s="9"/>
      <c r="D8" s="9">
        <f>C34</f>
        <v>328</v>
      </c>
      <c r="E8" s="9">
        <f>C34</f>
        <v>328</v>
      </c>
      <c r="F8" s="9"/>
      <c r="G8" s="9"/>
      <c r="H8" s="9"/>
      <c r="I8" s="34"/>
      <c r="J8" s="9"/>
      <c r="K8" s="34"/>
      <c r="L8" s="9"/>
      <c r="M8" s="23"/>
      <c r="N8" s="23"/>
    </row>
    <row r="9" spans="1:14" ht="17.399999999999999" x14ac:dyDescent="0.35">
      <c r="A9" s="11" t="s">
        <v>114</v>
      </c>
      <c r="B9" s="9"/>
      <c r="C9" s="9"/>
      <c r="D9" s="9">
        <f>C35</f>
        <v>656</v>
      </c>
      <c r="E9" s="9">
        <f>C35</f>
        <v>656</v>
      </c>
      <c r="F9" s="9"/>
      <c r="G9" s="9"/>
      <c r="H9" s="9"/>
      <c r="I9" s="34"/>
      <c r="J9" s="9"/>
      <c r="K9" s="34"/>
      <c r="L9" s="9"/>
      <c r="M9" s="23"/>
      <c r="N9" s="23"/>
    </row>
    <row r="10" spans="1:14" ht="17.399999999999999" x14ac:dyDescent="0.35">
      <c r="A10" s="11" t="s">
        <v>115</v>
      </c>
      <c r="B10" s="9"/>
      <c r="C10" s="9"/>
      <c r="D10" s="9"/>
      <c r="E10" s="9"/>
      <c r="F10" s="9"/>
      <c r="G10" s="9"/>
      <c r="H10" s="9"/>
      <c r="I10" s="34"/>
      <c r="J10" s="9">
        <f>C34</f>
        <v>328</v>
      </c>
      <c r="K10" s="9">
        <f>C34</f>
        <v>328</v>
      </c>
      <c r="L10" s="9">
        <f>C34</f>
        <v>328</v>
      </c>
      <c r="M10" s="24"/>
      <c r="N10" s="23"/>
    </row>
    <row r="11" spans="1:14" ht="17.399999999999999" x14ac:dyDescent="0.35">
      <c r="A11" s="11" t="s">
        <v>116</v>
      </c>
      <c r="B11" s="9"/>
      <c r="C11" s="9"/>
      <c r="D11" s="9"/>
      <c r="E11" s="9"/>
      <c r="F11" s="9"/>
      <c r="G11" s="9"/>
      <c r="H11" s="9"/>
      <c r="I11" s="34"/>
      <c r="J11" s="9">
        <f>C35</f>
        <v>656</v>
      </c>
      <c r="K11" s="9">
        <f>C35</f>
        <v>656</v>
      </c>
      <c r="L11" s="9">
        <f>C35</f>
        <v>656</v>
      </c>
      <c r="M11" s="24"/>
      <c r="N11" s="23"/>
    </row>
    <row r="12" spans="1:14" ht="17.399999999999999" x14ac:dyDescent="0.35">
      <c r="A12" s="11" t="s">
        <v>117</v>
      </c>
      <c r="B12" s="9"/>
      <c r="C12" s="9"/>
      <c r="D12" s="9"/>
      <c r="E12" s="9"/>
      <c r="F12" s="9">
        <f>C34</f>
        <v>328</v>
      </c>
      <c r="G12" s="9">
        <f>C34</f>
        <v>328</v>
      </c>
      <c r="H12" s="9">
        <f>C34</f>
        <v>328</v>
      </c>
      <c r="I12" s="34">
        <f>C34</f>
        <v>328</v>
      </c>
      <c r="J12" s="9"/>
      <c r="K12" s="34"/>
      <c r="L12" s="9"/>
      <c r="M12" s="23"/>
      <c r="N12" s="23"/>
    </row>
    <row r="13" spans="1:14" ht="17.399999999999999" x14ac:dyDescent="0.35">
      <c r="A13" s="11" t="s">
        <v>118</v>
      </c>
      <c r="B13" s="9"/>
      <c r="C13" s="9"/>
      <c r="D13" s="9"/>
      <c r="E13" s="9"/>
      <c r="F13" s="9">
        <f>C35</f>
        <v>656</v>
      </c>
      <c r="G13" s="9">
        <f>C35</f>
        <v>656</v>
      </c>
      <c r="H13" s="9">
        <f>C35</f>
        <v>656</v>
      </c>
      <c r="I13" s="34">
        <f>C35</f>
        <v>656</v>
      </c>
      <c r="J13" s="9"/>
      <c r="K13" s="34"/>
      <c r="L13" s="9"/>
      <c r="M13" s="23"/>
      <c r="N13" s="23"/>
    </row>
    <row r="14" spans="1:14" ht="17.399999999999999" x14ac:dyDescent="0.35">
      <c r="A14" s="11" t="s">
        <v>119</v>
      </c>
      <c r="B14" s="9">
        <f>C36</f>
        <v>30</v>
      </c>
      <c r="C14" s="9">
        <f>C36</f>
        <v>30</v>
      </c>
      <c r="D14" s="9"/>
      <c r="E14" s="9"/>
      <c r="F14" s="9"/>
      <c r="G14" s="9"/>
      <c r="H14" s="9"/>
      <c r="I14" s="34"/>
      <c r="J14" s="9"/>
      <c r="K14" s="34"/>
      <c r="L14" s="9"/>
      <c r="M14" s="23"/>
      <c r="N14" s="23"/>
    </row>
    <row r="15" spans="1:14" ht="17.399999999999999" x14ac:dyDescent="0.35">
      <c r="A15" s="11" t="s">
        <v>120</v>
      </c>
      <c r="B15" s="9"/>
      <c r="C15" s="9"/>
      <c r="D15" s="9">
        <f>C36</f>
        <v>30</v>
      </c>
      <c r="E15" s="9">
        <f>C36</f>
        <v>30</v>
      </c>
      <c r="F15" s="9"/>
      <c r="G15" s="9"/>
      <c r="H15" s="9"/>
      <c r="I15" s="34"/>
      <c r="J15" s="9"/>
      <c r="K15" s="34"/>
      <c r="L15" s="9"/>
      <c r="M15" s="23"/>
      <c r="N15" s="23"/>
    </row>
    <row r="16" spans="1:14" ht="17.399999999999999" x14ac:dyDescent="0.35">
      <c r="A16" s="11" t="s">
        <v>121</v>
      </c>
      <c r="B16" s="9"/>
      <c r="C16" s="9"/>
      <c r="D16" s="9"/>
      <c r="E16" s="9"/>
      <c r="F16" s="9">
        <f>C36</f>
        <v>30</v>
      </c>
      <c r="G16" s="9">
        <f>C36</f>
        <v>30</v>
      </c>
      <c r="H16" s="9">
        <f>C36</f>
        <v>30</v>
      </c>
      <c r="I16" s="34">
        <f>C36</f>
        <v>30</v>
      </c>
      <c r="J16" s="9"/>
      <c r="K16" s="34"/>
      <c r="L16" s="9"/>
      <c r="M16" s="23"/>
      <c r="N16" s="23"/>
    </row>
    <row r="17" spans="1:14" ht="17.399999999999999" x14ac:dyDescent="0.35">
      <c r="A17" s="11" t="s">
        <v>122</v>
      </c>
      <c r="B17" s="9"/>
      <c r="C17" s="9"/>
      <c r="D17" s="9"/>
      <c r="E17" s="9"/>
      <c r="F17" s="9"/>
      <c r="G17" s="9"/>
      <c r="H17" s="9"/>
      <c r="I17" s="34"/>
      <c r="J17" s="9">
        <f>C36</f>
        <v>30</v>
      </c>
      <c r="K17" s="9">
        <f>C36</f>
        <v>30</v>
      </c>
      <c r="L17" s="9">
        <f>C36</f>
        <v>30</v>
      </c>
      <c r="M17" s="24"/>
      <c r="N17" s="23"/>
    </row>
    <row r="18" spans="1:14" ht="17.399999999999999" x14ac:dyDescent="0.35">
      <c r="A18" s="11" t="s">
        <v>123</v>
      </c>
      <c r="B18" s="12">
        <f>C37</f>
        <v>0.15</v>
      </c>
      <c r="C18" s="12">
        <f>C37</f>
        <v>0.15</v>
      </c>
      <c r="D18" s="12"/>
      <c r="E18" s="12"/>
      <c r="F18" s="12"/>
      <c r="G18" s="12"/>
      <c r="H18" s="12"/>
      <c r="I18" s="35"/>
      <c r="J18" s="12"/>
      <c r="K18" s="35"/>
      <c r="L18" s="12"/>
      <c r="M18" s="23"/>
      <c r="N18" s="23"/>
    </row>
    <row r="19" spans="1:14" ht="17.399999999999999" x14ac:dyDescent="0.35">
      <c r="A19" s="11" t="s">
        <v>124</v>
      </c>
      <c r="B19" s="12"/>
      <c r="C19" s="12"/>
      <c r="D19" s="12">
        <f>C37</f>
        <v>0.15</v>
      </c>
      <c r="E19" s="12">
        <f>C37</f>
        <v>0.15</v>
      </c>
      <c r="F19" s="12"/>
      <c r="G19" s="12"/>
      <c r="H19" s="12"/>
      <c r="I19" s="35"/>
      <c r="J19" s="12"/>
      <c r="K19" s="35"/>
      <c r="L19" s="12"/>
      <c r="M19" s="23"/>
      <c r="N19" s="23"/>
    </row>
    <row r="20" spans="1:14" ht="17.399999999999999" x14ac:dyDescent="0.35">
      <c r="A20" s="11" t="s">
        <v>125</v>
      </c>
      <c r="B20" s="12"/>
      <c r="C20" s="12"/>
      <c r="D20" s="12"/>
      <c r="E20" s="12"/>
      <c r="F20" s="12">
        <f>C37</f>
        <v>0.15</v>
      </c>
      <c r="G20" s="12">
        <f>C37</f>
        <v>0.15</v>
      </c>
      <c r="H20" s="12">
        <f>C37</f>
        <v>0.15</v>
      </c>
      <c r="I20" s="35">
        <f>C37</f>
        <v>0.15</v>
      </c>
      <c r="J20" s="12"/>
      <c r="K20" s="35"/>
      <c r="L20" s="12"/>
      <c r="M20" s="23"/>
      <c r="N20" s="23"/>
    </row>
    <row r="21" spans="1:14" ht="17.399999999999999" x14ac:dyDescent="0.35">
      <c r="A21" s="11" t="s">
        <v>126</v>
      </c>
      <c r="B21" s="12"/>
      <c r="C21" s="12"/>
      <c r="D21" s="12"/>
      <c r="E21" s="12"/>
      <c r="F21" s="12"/>
      <c r="G21" s="12"/>
      <c r="H21" s="12"/>
      <c r="I21" s="35"/>
      <c r="J21" s="12">
        <f>C37</f>
        <v>0.15</v>
      </c>
      <c r="K21" s="12">
        <f>C37</f>
        <v>0.15</v>
      </c>
      <c r="L21" s="12">
        <f>C37</f>
        <v>0.15</v>
      </c>
    </row>
    <row r="22" spans="1:14" ht="17.399999999999999" x14ac:dyDescent="0.35">
      <c r="A22" s="11" t="s">
        <v>127</v>
      </c>
      <c r="B22" s="9" t="s">
        <v>221</v>
      </c>
      <c r="C22" s="9" t="s">
        <v>222</v>
      </c>
      <c r="D22" s="9" t="s">
        <v>221</v>
      </c>
      <c r="E22" s="9" t="s">
        <v>223</v>
      </c>
      <c r="F22" s="9" t="s">
        <v>223</v>
      </c>
      <c r="G22" s="9" t="s">
        <v>223</v>
      </c>
      <c r="H22" s="9" t="s">
        <v>223</v>
      </c>
      <c r="I22" s="9" t="s">
        <v>223</v>
      </c>
      <c r="J22" s="9" t="s">
        <v>223</v>
      </c>
      <c r="K22" s="34" t="s">
        <v>223</v>
      </c>
      <c r="L22" s="9" t="s">
        <v>223</v>
      </c>
    </row>
    <row r="23" spans="1:14" ht="17.399999999999999" x14ac:dyDescent="0.35">
      <c r="A23" s="11" t="s">
        <v>128</v>
      </c>
      <c r="B23" s="9" t="s">
        <v>162</v>
      </c>
      <c r="C23" s="9" t="s">
        <v>162</v>
      </c>
      <c r="D23" s="9" t="s">
        <v>159</v>
      </c>
      <c r="E23" s="9" t="s">
        <v>159</v>
      </c>
      <c r="F23" s="9" t="s">
        <v>160</v>
      </c>
      <c r="G23" s="9" t="s">
        <v>160</v>
      </c>
      <c r="H23" s="9" t="s">
        <v>160</v>
      </c>
      <c r="I23" s="9" t="s">
        <v>160</v>
      </c>
      <c r="J23" s="9" t="s">
        <v>161</v>
      </c>
      <c r="K23" s="34" t="s">
        <v>161</v>
      </c>
      <c r="L23" s="9" t="s">
        <v>161</v>
      </c>
    </row>
    <row r="24" spans="1:14" ht="17.399999999999999" x14ac:dyDescent="0.35">
      <c r="A24" s="11" t="s">
        <v>129</v>
      </c>
      <c r="B24" s="9" t="s">
        <v>130</v>
      </c>
      <c r="C24" s="9" t="s">
        <v>130</v>
      </c>
      <c r="D24" s="9" t="s">
        <v>131</v>
      </c>
      <c r="E24" s="9" t="s">
        <v>131</v>
      </c>
      <c r="F24" s="9" t="s">
        <v>132</v>
      </c>
      <c r="G24" s="9" t="s">
        <v>132</v>
      </c>
      <c r="H24" s="9" t="s">
        <v>132</v>
      </c>
      <c r="I24" s="9" t="s">
        <v>132</v>
      </c>
      <c r="J24" s="9" t="s">
        <v>133</v>
      </c>
      <c r="K24" s="34" t="s">
        <v>133</v>
      </c>
      <c r="L24" s="9" t="s">
        <v>133</v>
      </c>
    </row>
    <row r="29" spans="1:14" x14ac:dyDescent="0.35">
      <c r="B29" s="67" t="s">
        <v>219</v>
      </c>
      <c r="C29" s="67"/>
    </row>
    <row r="30" spans="1:14" x14ac:dyDescent="0.35">
      <c r="B30" s="67" t="s">
        <v>179</v>
      </c>
      <c r="C30" s="67">
        <v>129.9</v>
      </c>
    </row>
    <row r="31" spans="1:14" x14ac:dyDescent="0.35">
      <c r="B31" s="67" t="s">
        <v>184</v>
      </c>
      <c r="C31" s="67">
        <v>129.9</v>
      </c>
    </row>
    <row r="32" spans="1:14" x14ac:dyDescent="0.35">
      <c r="B32" s="67" t="s">
        <v>186</v>
      </c>
      <c r="C32" s="68">
        <v>0.15</v>
      </c>
    </row>
    <row r="33" spans="2:3" x14ac:dyDescent="0.35">
      <c r="B33" s="67" t="s">
        <v>187</v>
      </c>
      <c r="C33" s="69">
        <v>7.4999999999999997E-2</v>
      </c>
    </row>
    <row r="34" spans="2:3" x14ac:dyDescent="0.35">
      <c r="B34" s="67" t="s">
        <v>206</v>
      </c>
      <c r="C34" s="67">
        <v>328</v>
      </c>
    </row>
    <row r="35" spans="2:3" x14ac:dyDescent="0.35">
      <c r="B35" s="67" t="s">
        <v>207</v>
      </c>
      <c r="C35" s="67">
        <v>656</v>
      </c>
    </row>
    <row r="36" spans="2:3" x14ac:dyDescent="0.35">
      <c r="B36" s="67" t="s">
        <v>197</v>
      </c>
      <c r="C36" s="67">
        <v>30</v>
      </c>
    </row>
    <row r="37" spans="2:3" x14ac:dyDescent="0.35">
      <c r="B37" s="67" t="s">
        <v>198</v>
      </c>
      <c r="C37" s="68">
        <v>0.15</v>
      </c>
    </row>
    <row r="38" spans="2:3" x14ac:dyDescent="0.35">
      <c r="B38" s="67" t="s">
        <v>220</v>
      </c>
      <c r="C38" s="67">
        <v>492</v>
      </c>
    </row>
  </sheetData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Z55"/>
  <sheetViews>
    <sheetView workbookViewId="0">
      <pane xSplit="1" ySplit="1" topLeftCell="AI2" activePane="bottomRight" state="frozen"/>
      <selection pane="topRight"/>
      <selection pane="bottomLeft"/>
      <selection pane="bottomRight" activeCell="AP23" sqref="AP23"/>
    </sheetView>
  </sheetViews>
  <sheetFormatPr defaultRowHeight="15.6" x14ac:dyDescent="0.35"/>
  <cols>
    <col min="1" max="1" width="15.7265625" customWidth="1"/>
    <col min="2" max="29" width="9.7265625" customWidth="1"/>
    <col min="30" max="33" width="9.7265625" style="48" customWidth="1"/>
    <col min="34" max="41" width="9.7265625" customWidth="1"/>
    <col min="46" max="46" width="8.7265625" style="48"/>
    <col min="47" max="52" width="9.7265625" customWidth="1"/>
  </cols>
  <sheetData>
    <row r="1" spans="1:52" ht="17.399999999999999" x14ac:dyDescent="0.35">
      <c r="B1" s="14" t="s">
        <v>67</v>
      </c>
      <c r="C1" s="15" t="s">
        <v>70</v>
      </c>
      <c r="D1" s="15" t="s">
        <v>73</v>
      </c>
      <c r="E1" s="15" t="s">
        <v>75</v>
      </c>
      <c r="F1" s="14" t="s">
        <v>44</v>
      </c>
      <c r="G1" s="15" t="s">
        <v>64</v>
      </c>
      <c r="H1" s="15" t="s">
        <v>57</v>
      </c>
      <c r="I1" s="15" t="s">
        <v>60</v>
      </c>
      <c r="J1" s="14" t="s">
        <v>16</v>
      </c>
      <c r="K1" s="15" t="s">
        <v>24</v>
      </c>
      <c r="L1" s="15" t="s">
        <v>21</v>
      </c>
      <c r="M1" s="15" t="s">
        <v>28</v>
      </c>
      <c r="N1" s="14" t="s">
        <v>134</v>
      </c>
      <c r="O1" s="15" t="s">
        <v>6</v>
      </c>
      <c r="P1" s="15" t="s">
        <v>135</v>
      </c>
      <c r="Q1" s="15" t="s">
        <v>11</v>
      </c>
      <c r="R1" s="14" t="s">
        <v>81</v>
      </c>
      <c r="S1" s="15" t="s">
        <v>82</v>
      </c>
      <c r="T1" s="15" t="s">
        <v>84</v>
      </c>
      <c r="U1" s="15" t="s">
        <v>83</v>
      </c>
      <c r="V1" s="14" t="s">
        <v>77</v>
      </c>
      <c r="W1" s="15" t="s">
        <v>78</v>
      </c>
      <c r="X1" s="15" t="s">
        <v>79</v>
      </c>
      <c r="Y1" s="15" t="s">
        <v>80</v>
      </c>
      <c r="Z1" s="14" t="s">
        <v>85</v>
      </c>
      <c r="AA1" s="15" t="s">
        <v>86</v>
      </c>
      <c r="AB1" s="15" t="s">
        <v>89</v>
      </c>
      <c r="AC1" s="15" t="s">
        <v>91</v>
      </c>
      <c r="AD1" s="14" t="s">
        <v>215</v>
      </c>
      <c r="AE1" s="64" t="s">
        <v>216</v>
      </c>
      <c r="AF1" s="64" t="s">
        <v>217</v>
      </c>
      <c r="AG1" s="64" t="s">
        <v>218</v>
      </c>
      <c r="AH1" s="14" t="s">
        <v>42</v>
      </c>
      <c r="AI1" s="15" t="s">
        <v>51</v>
      </c>
      <c r="AJ1" s="15" t="s">
        <v>46</v>
      </c>
      <c r="AK1" s="15" t="s">
        <v>48</v>
      </c>
      <c r="AL1" s="14" t="s">
        <v>31</v>
      </c>
      <c r="AM1" s="15" t="s">
        <v>35</v>
      </c>
      <c r="AN1" s="15" t="s">
        <v>37</v>
      </c>
      <c r="AO1" s="15" t="s">
        <v>40</v>
      </c>
      <c r="AP1" s="14" t="s">
        <v>154</v>
      </c>
      <c r="AQ1" s="15" t="s">
        <v>155</v>
      </c>
      <c r="AR1" s="15" t="s">
        <v>156</v>
      </c>
      <c r="AS1" s="15" t="s">
        <v>214</v>
      </c>
      <c r="AT1" s="64"/>
      <c r="AU1" s="14" t="s">
        <v>163</v>
      </c>
      <c r="AV1" s="14" t="s">
        <v>92</v>
      </c>
      <c r="AW1" s="15" t="s">
        <v>93</v>
      </c>
      <c r="AX1" s="15" t="s">
        <v>95</v>
      </c>
      <c r="AY1" s="15" t="s">
        <v>96</v>
      </c>
      <c r="AZ1" s="11" t="s">
        <v>97</v>
      </c>
    </row>
    <row r="2" spans="1:52" ht="17.399999999999999" x14ac:dyDescent="0.35">
      <c r="A2" s="11" t="s">
        <v>4</v>
      </c>
      <c r="B2" s="9"/>
      <c r="C2" s="9"/>
      <c r="D2" s="9"/>
      <c r="E2" s="9">
        <f>D37</f>
        <v>39</v>
      </c>
      <c r="F2" s="9"/>
      <c r="G2" s="9"/>
      <c r="H2" s="9"/>
      <c r="I2" s="9">
        <f>D37</f>
        <v>39</v>
      </c>
      <c r="J2" s="9"/>
      <c r="K2" s="9"/>
      <c r="L2" s="9"/>
      <c r="M2" s="9"/>
      <c r="N2" s="9">
        <f>C35</f>
        <v>130.1</v>
      </c>
      <c r="O2" s="9"/>
      <c r="P2" s="9"/>
      <c r="Q2" s="9">
        <f>D37</f>
        <v>39</v>
      </c>
      <c r="R2" s="9"/>
      <c r="S2" s="9">
        <f>D35</f>
        <v>117.1</v>
      </c>
      <c r="T2" s="9"/>
      <c r="U2" s="9"/>
      <c r="V2" s="9"/>
      <c r="W2" s="9"/>
      <c r="X2" s="9">
        <f>D35</f>
        <v>117.1</v>
      </c>
      <c r="Y2" s="9"/>
      <c r="Z2" s="9">
        <f>C35</f>
        <v>130.1</v>
      </c>
      <c r="AA2" s="9"/>
      <c r="AB2" s="9">
        <f>D37</f>
        <v>39</v>
      </c>
      <c r="AC2" s="9"/>
      <c r="AD2" s="34">
        <f>C35</f>
        <v>130.1</v>
      </c>
      <c r="AE2" s="34"/>
      <c r="AF2" s="34"/>
      <c r="AG2" s="34">
        <f>D37</f>
        <v>39</v>
      </c>
      <c r="AH2" s="9"/>
      <c r="AI2" s="9">
        <f>D37</f>
        <v>39</v>
      </c>
      <c r="AJ2" s="9"/>
      <c r="AK2" s="9">
        <f>D37</f>
        <v>39</v>
      </c>
      <c r="AL2" s="9"/>
      <c r="AM2" s="9"/>
      <c r="AN2" s="9"/>
      <c r="AO2" s="9">
        <f>D37</f>
        <v>39</v>
      </c>
      <c r="AP2" s="9">
        <f>C35</f>
        <v>130.1</v>
      </c>
      <c r="AQ2" s="9">
        <f>D37</f>
        <v>39</v>
      </c>
      <c r="AR2" s="9"/>
      <c r="AS2" s="9"/>
      <c r="AT2" s="34"/>
      <c r="AU2" s="9">
        <f>E37</f>
        <v>43.4</v>
      </c>
      <c r="AV2" s="9">
        <f>E37</f>
        <v>43.4</v>
      </c>
      <c r="AW2" s="9">
        <f>F35</f>
        <v>117.1</v>
      </c>
      <c r="AX2" s="9">
        <f>F37</f>
        <v>39</v>
      </c>
      <c r="AY2" s="9"/>
      <c r="AZ2" s="9"/>
    </row>
    <row r="3" spans="1:52" ht="17.399999999999999" x14ac:dyDescent="0.35">
      <c r="A3" s="11" t="s">
        <v>2</v>
      </c>
      <c r="B3" s="9">
        <f>C36</f>
        <v>130.1</v>
      </c>
      <c r="C3" s="9"/>
      <c r="D3" s="9"/>
      <c r="E3" s="9">
        <f>D38</f>
        <v>78</v>
      </c>
      <c r="F3" s="9">
        <f>I36</f>
        <v>121.3</v>
      </c>
      <c r="G3" s="9"/>
      <c r="H3" s="9"/>
      <c r="I3" s="9">
        <f>D38</f>
        <v>78</v>
      </c>
      <c r="J3" s="9"/>
      <c r="K3" s="9"/>
      <c r="L3" s="9"/>
      <c r="M3" s="9"/>
      <c r="N3" s="9"/>
      <c r="O3" s="9"/>
      <c r="P3" s="9"/>
      <c r="Q3" s="9">
        <f>D38</f>
        <v>78</v>
      </c>
      <c r="R3" s="9"/>
      <c r="S3" s="9"/>
      <c r="T3" s="9"/>
      <c r="U3" s="9"/>
      <c r="V3" s="9"/>
      <c r="W3" s="9"/>
      <c r="X3" s="9"/>
      <c r="Y3" s="9"/>
      <c r="Z3" s="9"/>
      <c r="AA3" s="9"/>
      <c r="AB3" s="9">
        <f>D38</f>
        <v>78</v>
      </c>
      <c r="AC3" s="9"/>
      <c r="AD3" s="34"/>
      <c r="AE3" s="34"/>
      <c r="AF3" s="34"/>
      <c r="AG3" s="34">
        <f>D38</f>
        <v>78</v>
      </c>
      <c r="AH3" s="9"/>
      <c r="AI3" s="9">
        <f>D38</f>
        <v>78</v>
      </c>
      <c r="AJ3" s="9"/>
      <c r="AK3" s="9">
        <f>D38</f>
        <v>78</v>
      </c>
      <c r="AL3" s="9"/>
      <c r="AM3" s="9"/>
      <c r="AN3" s="9"/>
      <c r="AO3" s="9">
        <f>D38</f>
        <v>78</v>
      </c>
      <c r="AP3" s="9"/>
      <c r="AQ3" s="9">
        <f>D38</f>
        <v>78</v>
      </c>
      <c r="AR3" s="9"/>
      <c r="AS3" s="9"/>
      <c r="AT3" s="34"/>
      <c r="AU3" s="9">
        <f>E38</f>
        <v>86.8</v>
      </c>
      <c r="AV3" s="9">
        <f>E38</f>
        <v>86.8</v>
      </c>
      <c r="AW3" s="9"/>
      <c r="AX3" s="9">
        <f>F38</f>
        <v>78</v>
      </c>
      <c r="AY3" s="9"/>
      <c r="AZ3" s="9">
        <f>G36</f>
        <v>104.1</v>
      </c>
    </row>
    <row r="4" spans="1:52" ht="17.399999999999999" x14ac:dyDescent="0.35">
      <c r="A4" s="11" t="s">
        <v>26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>
        <f>D39</f>
        <v>0.12</v>
      </c>
      <c r="U4" s="12"/>
      <c r="V4" s="12"/>
      <c r="W4" s="12">
        <f>D39</f>
        <v>0.12</v>
      </c>
      <c r="X4" s="12"/>
      <c r="Y4" s="12"/>
      <c r="Z4" s="12"/>
      <c r="AA4" s="12"/>
      <c r="AB4" s="12"/>
      <c r="AC4" s="12"/>
      <c r="AD4" s="35"/>
      <c r="AE4" s="35"/>
      <c r="AF4" s="35"/>
      <c r="AG4" s="35"/>
      <c r="AH4" s="12"/>
      <c r="AI4" s="12"/>
      <c r="AJ4" s="12">
        <f>D39</f>
        <v>0.12</v>
      </c>
      <c r="AK4" s="12"/>
      <c r="AL4" s="12"/>
      <c r="AM4" s="12"/>
      <c r="AN4" s="12"/>
      <c r="AO4" s="12"/>
      <c r="AP4" s="12"/>
      <c r="AQ4" s="12"/>
      <c r="AR4" s="12"/>
      <c r="AS4" s="12"/>
      <c r="AT4" s="35"/>
      <c r="AU4" s="12"/>
      <c r="AV4" s="12"/>
      <c r="AW4" s="12"/>
      <c r="AX4" s="12"/>
      <c r="AY4" s="12">
        <f>F39</f>
        <v>0.12</v>
      </c>
      <c r="AZ4" s="12"/>
    </row>
    <row r="5" spans="1:52" ht="17.399999999999999" x14ac:dyDescent="0.35">
      <c r="A5" s="11" t="s">
        <v>29</v>
      </c>
      <c r="B5" s="12"/>
      <c r="C5" s="12"/>
      <c r="D5" s="12"/>
      <c r="E5" s="12"/>
      <c r="F5" s="12"/>
      <c r="G5" s="12"/>
      <c r="H5" s="12"/>
      <c r="I5" s="12"/>
      <c r="J5" s="12">
        <f>C40</f>
        <v>0.15</v>
      </c>
      <c r="K5" s="12"/>
      <c r="L5" s="12"/>
      <c r="M5" s="12"/>
      <c r="N5" s="12"/>
      <c r="O5" s="12">
        <f>D40</f>
        <v>0.13500000000000001</v>
      </c>
      <c r="P5" s="12"/>
      <c r="Q5" s="12"/>
      <c r="R5" s="12">
        <f>C40</f>
        <v>0.15</v>
      </c>
      <c r="S5" s="12"/>
      <c r="T5" s="12"/>
      <c r="U5" s="12"/>
      <c r="V5" s="12">
        <f>C40</f>
        <v>0.15</v>
      </c>
      <c r="W5" s="12"/>
      <c r="X5" s="12"/>
      <c r="Y5" s="12"/>
      <c r="Z5" s="12"/>
      <c r="AA5" s="12">
        <f>D40</f>
        <v>0.13500000000000001</v>
      </c>
      <c r="AB5" s="12"/>
      <c r="AC5" s="12"/>
      <c r="AD5" s="35"/>
      <c r="AE5" s="35"/>
      <c r="AF5" s="35">
        <f>D40</f>
        <v>0.13500000000000001</v>
      </c>
      <c r="AG5" s="35"/>
      <c r="AH5" s="12">
        <f>C40</f>
        <v>0.15</v>
      </c>
      <c r="AJ5" s="12"/>
      <c r="AK5" s="12"/>
      <c r="AL5" s="12">
        <f>C40</f>
        <v>0.15</v>
      </c>
      <c r="AM5" s="12"/>
      <c r="AN5" s="12">
        <f>D40</f>
        <v>0.13500000000000001</v>
      </c>
      <c r="AO5" s="12"/>
      <c r="AP5" s="12"/>
      <c r="AQ5" s="12"/>
      <c r="AR5" s="12">
        <f>D40</f>
        <v>0.13500000000000001</v>
      </c>
      <c r="AS5" s="12"/>
      <c r="AT5" s="35"/>
      <c r="AU5" s="12"/>
      <c r="AV5" s="12"/>
      <c r="AW5" s="12"/>
      <c r="AX5" s="12"/>
      <c r="AY5" s="12"/>
      <c r="AZ5" s="12"/>
    </row>
    <row r="6" spans="1:52" ht="17.399999999999999" x14ac:dyDescent="0.35">
      <c r="A6" s="11" t="s">
        <v>33</v>
      </c>
      <c r="B6" s="12"/>
      <c r="C6" s="12">
        <f>D41</f>
        <v>6.7000000000000004E-2</v>
      </c>
      <c r="D6" s="12"/>
      <c r="E6" s="12"/>
      <c r="F6" s="12"/>
      <c r="G6" s="12">
        <f>D41</f>
        <v>6.7000000000000004E-2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35"/>
      <c r="AE6" s="35"/>
      <c r="AF6" s="35"/>
      <c r="AG6" s="35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35"/>
      <c r="AU6" s="12"/>
      <c r="AV6" s="12"/>
      <c r="AW6" s="12"/>
      <c r="AX6" s="12"/>
      <c r="AY6" s="12"/>
      <c r="AZ6" s="12"/>
    </row>
    <row r="7" spans="1:52" ht="17.399999999999999" x14ac:dyDescent="0.35">
      <c r="A7" s="11" t="s">
        <v>52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>
        <f>C42</f>
        <v>4.5999999999999999E-2</v>
      </c>
      <c r="O7" s="12"/>
      <c r="P7" s="12"/>
      <c r="Q7" s="12"/>
      <c r="R7" s="12"/>
      <c r="S7" s="12"/>
      <c r="T7" s="12"/>
      <c r="U7" s="12"/>
      <c r="V7" s="12"/>
      <c r="W7" s="12">
        <f>D42</f>
        <v>4.1000000000000002E-2</v>
      </c>
      <c r="X7" s="12"/>
      <c r="Y7" s="12"/>
      <c r="Z7" s="12">
        <f>C42</f>
        <v>4.5999999999999999E-2</v>
      </c>
      <c r="AA7" s="12"/>
      <c r="AB7" s="12"/>
      <c r="AC7" s="12"/>
      <c r="AD7" s="35">
        <f>C42</f>
        <v>4.5999999999999999E-2</v>
      </c>
      <c r="AE7" s="35"/>
      <c r="AF7" s="35"/>
      <c r="AG7" s="35"/>
      <c r="AH7" s="12">
        <f>C42</f>
        <v>4.5999999999999999E-2</v>
      </c>
      <c r="AI7" s="12"/>
      <c r="AJ7" s="12"/>
      <c r="AK7" s="12"/>
      <c r="AL7" s="12">
        <f>C42</f>
        <v>4.5999999999999999E-2</v>
      </c>
      <c r="AM7" s="12"/>
      <c r="AN7" s="12"/>
      <c r="AO7" s="12"/>
      <c r="AP7" s="12">
        <f>C42</f>
        <v>4.5999999999999999E-2</v>
      </c>
      <c r="AQ7" s="12"/>
      <c r="AR7" s="12"/>
      <c r="AS7" s="12"/>
      <c r="AT7" s="35"/>
      <c r="AU7" s="12"/>
      <c r="AV7" s="12">
        <f>E42</f>
        <v>4.5999999999999999E-2</v>
      </c>
      <c r="AW7" s="12"/>
      <c r="AX7" s="12"/>
      <c r="AY7" s="12"/>
      <c r="AZ7" s="12"/>
    </row>
    <row r="8" spans="1:52" ht="17.399999999999999" x14ac:dyDescent="0.35">
      <c r="A8" s="11" t="s">
        <v>55</v>
      </c>
      <c r="B8" s="12">
        <f>C43</f>
        <v>2.3E-2</v>
      </c>
      <c r="C8" s="12"/>
      <c r="D8" s="12"/>
      <c r="E8" s="12"/>
      <c r="F8" s="12">
        <f>C43</f>
        <v>2.3E-2</v>
      </c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35"/>
      <c r="AE8" s="35"/>
      <c r="AF8" s="35"/>
      <c r="AG8" s="35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35"/>
      <c r="AU8" s="12"/>
      <c r="AV8" s="12"/>
      <c r="AW8" s="12"/>
      <c r="AX8" s="12"/>
      <c r="AY8" s="12"/>
      <c r="AZ8" s="12"/>
    </row>
    <row r="9" spans="1:52" ht="17.399999999999999" x14ac:dyDescent="0.35">
      <c r="A9" s="11" t="s">
        <v>68</v>
      </c>
      <c r="B9" s="12"/>
      <c r="C9" s="12"/>
      <c r="D9" s="12"/>
      <c r="E9" s="12"/>
      <c r="F9" s="12"/>
      <c r="G9" s="12"/>
      <c r="H9" s="12"/>
      <c r="I9" s="12"/>
      <c r="J9" s="12">
        <f>C44</f>
        <v>4.3999999999999997E-2</v>
      </c>
      <c r="K9" s="12"/>
      <c r="L9" s="12"/>
      <c r="M9" s="12"/>
      <c r="N9" s="12"/>
      <c r="O9" s="12">
        <f>D44</f>
        <v>0.04</v>
      </c>
      <c r="P9" s="12"/>
      <c r="Q9" s="12"/>
      <c r="R9" s="12"/>
      <c r="S9" s="12"/>
      <c r="T9" s="12">
        <f>D44</f>
        <v>0.04</v>
      </c>
      <c r="U9" s="12"/>
      <c r="V9" s="12">
        <f>C44</f>
        <v>4.3999999999999997E-2</v>
      </c>
      <c r="W9" s="12"/>
      <c r="X9" s="12"/>
      <c r="Y9" s="12"/>
      <c r="Z9" s="12"/>
      <c r="AA9" s="12">
        <f>D44</f>
        <v>0.04</v>
      </c>
      <c r="AB9" s="12"/>
      <c r="AC9" s="12"/>
      <c r="AD9" s="66"/>
      <c r="AE9" s="66"/>
      <c r="AF9" s="66">
        <f>D44</f>
        <v>0.04</v>
      </c>
      <c r="AG9" s="66"/>
      <c r="AI9" s="12"/>
      <c r="AJ9" s="12"/>
      <c r="AK9" s="12"/>
      <c r="AL9" s="12"/>
      <c r="AM9" s="12"/>
      <c r="AN9" s="12"/>
      <c r="AO9" s="12"/>
      <c r="AP9" s="12"/>
      <c r="AQ9" s="12"/>
      <c r="AR9" s="12">
        <f>D44</f>
        <v>0.04</v>
      </c>
      <c r="AS9" s="12"/>
      <c r="AT9" s="35"/>
      <c r="AU9" s="12"/>
      <c r="AV9" s="12"/>
      <c r="AW9" s="12"/>
      <c r="AX9" s="12"/>
      <c r="AY9" s="12"/>
      <c r="AZ9" s="12">
        <f>G44</f>
        <v>3.5000000000000003E-2</v>
      </c>
    </row>
    <row r="10" spans="1:52" ht="17.399999999999999" x14ac:dyDescent="0.35">
      <c r="A10" s="11" t="s">
        <v>71</v>
      </c>
      <c r="B10" s="12"/>
      <c r="C10" s="12">
        <f>D45</f>
        <v>5.1999999999999998E-2</v>
      </c>
      <c r="D10" s="12"/>
      <c r="E10" s="12"/>
      <c r="F10" s="12"/>
      <c r="G10" s="12">
        <f>D45</f>
        <v>5.1999999999999998E-2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35"/>
      <c r="AE10" s="35"/>
      <c r="AF10" s="35"/>
      <c r="AG10" s="35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35"/>
      <c r="AU10" s="12"/>
      <c r="AV10" s="12"/>
      <c r="AW10" s="12"/>
      <c r="AX10" s="12"/>
      <c r="AY10" s="12"/>
      <c r="AZ10" s="12"/>
    </row>
    <row r="11" spans="1:52" ht="17.399999999999999" x14ac:dyDescent="0.35">
      <c r="A11" s="11" t="s">
        <v>90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35"/>
      <c r="AE11" s="35"/>
      <c r="AF11" s="35"/>
      <c r="AG11" s="35"/>
      <c r="AH11" s="12"/>
      <c r="AI11" s="12"/>
      <c r="AJ11" s="12"/>
      <c r="AK11" s="12"/>
      <c r="AL11" s="12"/>
      <c r="AM11" s="12">
        <f>D46</f>
        <v>0.04</v>
      </c>
      <c r="AN11" s="12">
        <f>D46</f>
        <v>0.04</v>
      </c>
      <c r="AO11" s="12"/>
      <c r="AP11" s="12"/>
      <c r="AQ11" s="12"/>
      <c r="AR11" s="12"/>
      <c r="AS11" s="12"/>
      <c r="AT11" s="35"/>
      <c r="AU11" s="12"/>
      <c r="AV11" s="12"/>
      <c r="AW11" s="12"/>
      <c r="AX11" s="12"/>
      <c r="AY11" s="12"/>
      <c r="AZ11" s="12"/>
    </row>
    <row r="12" spans="1:52" ht="17.399999999999999" x14ac:dyDescent="0.35">
      <c r="A12" s="11" t="s">
        <v>111</v>
      </c>
      <c r="B12" s="9"/>
      <c r="C12" s="9"/>
      <c r="D12" s="9"/>
      <c r="E12" s="9"/>
      <c r="F12" s="9"/>
      <c r="G12" s="9"/>
      <c r="H12" s="9">
        <f>D47</f>
        <v>22.1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34"/>
      <c r="AE12" s="34"/>
      <c r="AF12" s="34"/>
      <c r="AG12" s="34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34"/>
      <c r="AU12" s="9"/>
      <c r="AV12" s="9"/>
      <c r="AW12" s="9"/>
      <c r="AX12" s="9"/>
      <c r="AY12" s="9"/>
      <c r="AZ12" s="9"/>
    </row>
    <row r="13" spans="1:52" ht="17.399999999999999" x14ac:dyDescent="0.35">
      <c r="A13" s="11" t="s">
        <v>112</v>
      </c>
      <c r="B13" s="9"/>
      <c r="C13" s="9"/>
      <c r="D13" s="9">
        <f>D50</f>
        <v>66.400000000000006</v>
      </c>
      <c r="E13" s="9"/>
      <c r="F13" s="9"/>
      <c r="G13" s="9"/>
      <c r="H13" s="9">
        <f>D48</f>
        <v>44.3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34"/>
      <c r="AE13" s="34"/>
      <c r="AF13" s="34"/>
      <c r="AG13" s="34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34"/>
      <c r="AU13" s="9"/>
      <c r="AV13" s="9"/>
      <c r="AW13" s="9"/>
      <c r="AX13" s="9"/>
      <c r="AY13" s="9"/>
      <c r="AZ13" s="9"/>
    </row>
    <row r="14" spans="1:52" ht="17.399999999999999" x14ac:dyDescent="0.35">
      <c r="A14" s="11" t="s">
        <v>113</v>
      </c>
      <c r="B14" s="9"/>
      <c r="C14" s="9"/>
      <c r="D14" s="9"/>
      <c r="E14" s="9"/>
      <c r="F14" s="9"/>
      <c r="G14" s="9"/>
      <c r="H14" s="9"/>
      <c r="I14" s="9"/>
      <c r="J14" s="9"/>
      <c r="K14" s="9">
        <f>D47</f>
        <v>22.1</v>
      </c>
      <c r="L14" s="9"/>
      <c r="M14" s="9"/>
      <c r="N14" s="9"/>
      <c r="O14" s="9"/>
      <c r="P14" s="9">
        <f>D47</f>
        <v>22.1</v>
      </c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34"/>
      <c r="AE14" s="34"/>
      <c r="AF14" s="34"/>
      <c r="AG14" s="34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34"/>
      <c r="AU14" s="9"/>
      <c r="AV14" s="9"/>
      <c r="AW14" s="9"/>
      <c r="AX14" s="9"/>
      <c r="AY14" s="9"/>
      <c r="AZ14" s="9"/>
    </row>
    <row r="15" spans="1:52" ht="17.399999999999999" x14ac:dyDescent="0.35">
      <c r="A15" s="11" t="s">
        <v>114</v>
      </c>
      <c r="B15" s="9"/>
      <c r="C15" s="9"/>
      <c r="D15" s="9"/>
      <c r="E15" s="9"/>
      <c r="F15" s="9"/>
      <c r="G15" s="9"/>
      <c r="H15" s="9"/>
      <c r="I15" s="9"/>
      <c r="J15" s="9"/>
      <c r="K15" s="9">
        <f>D48</f>
        <v>44.3</v>
      </c>
      <c r="L15" s="9"/>
      <c r="M15" s="9"/>
      <c r="N15" s="9"/>
      <c r="O15" s="9"/>
      <c r="P15" s="9">
        <f>D48</f>
        <v>44.3</v>
      </c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34"/>
      <c r="AE15" s="34"/>
      <c r="AF15" s="34"/>
      <c r="AG15" s="34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34"/>
      <c r="AU15" s="9"/>
      <c r="AV15" s="9"/>
      <c r="AW15" s="9"/>
      <c r="AX15" s="9"/>
      <c r="AY15" s="9"/>
      <c r="AZ15" s="9"/>
    </row>
    <row r="16" spans="1:52" ht="17.399999999999999" x14ac:dyDescent="0.35">
      <c r="A16" s="11" t="s">
        <v>117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>
        <f>D49</f>
        <v>66.400000000000006</v>
      </c>
      <c r="V16" s="9"/>
      <c r="W16" s="9"/>
      <c r="X16" s="9"/>
      <c r="Y16" s="9">
        <f>D49</f>
        <v>66.400000000000006</v>
      </c>
      <c r="Z16" s="9"/>
      <c r="AA16" s="9"/>
      <c r="AB16" s="9"/>
      <c r="AC16" s="9">
        <f>D47</f>
        <v>22.1</v>
      </c>
      <c r="AD16" s="34"/>
      <c r="AE16" s="34">
        <f>D47</f>
        <v>22.1</v>
      </c>
      <c r="AF16" s="34"/>
      <c r="AG16" s="34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34"/>
      <c r="AU16" s="9"/>
      <c r="AV16" s="9"/>
      <c r="AW16" s="9"/>
      <c r="AX16" s="9"/>
      <c r="AY16" s="9"/>
      <c r="AZ16" s="9"/>
    </row>
    <row r="17" spans="1:52" ht="17.399999999999999" x14ac:dyDescent="0.35">
      <c r="A17" s="11" t="s">
        <v>118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>
        <f>D48</f>
        <v>44.3</v>
      </c>
      <c r="AD17" s="34"/>
      <c r="AE17" s="34">
        <f>D48</f>
        <v>44.3</v>
      </c>
      <c r="AF17" s="34"/>
      <c r="AG17" s="34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34"/>
      <c r="AU17" s="9"/>
      <c r="AV17" s="9"/>
      <c r="AW17" s="9"/>
      <c r="AX17" s="9"/>
      <c r="AY17" s="9"/>
      <c r="AZ17" s="9"/>
    </row>
    <row r="18" spans="1:52" ht="17.399999999999999" x14ac:dyDescent="0.35">
      <c r="A18" s="11" t="s">
        <v>115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34"/>
      <c r="AE18" s="34"/>
      <c r="AF18" s="34"/>
      <c r="AG18" s="34"/>
      <c r="AH18" s="9"/>
      <c r="AI18" s="9"/>
      <c r="AJ18" s="9"/>
      <c r="AK18" s="9"/>
      <c r="AL18" s="9"/>
      <c r="AM18" s="9">
        <f>D49</f>
        <v>66.400000000000006</v>
      </c>
      <c r="AN18" s="9"/>
      <c r="AO18" s="9"/>
      <c r="AP18" s="9"/>
      <c r="AQ18" s="9"/>
      <c r="AR18" s="9"/>
      <c r="AS18" s="9">
        <f>D47</f>
        <v>22.1</v>
      </c>
      <c r="AT18" s="34"/>
      <c r="AU18" s="9"/>
      <c r="AV18" s="9"/>
      <c r="AW18" s="9"/>
      <c r="AX18" s="9"/>
      <c r="AY18" s="9"/>
      <c r="AZ18" s="9"/>
    </row>
    <row r="19" spans="1:52" ht="17.399999999999999" x14ac:dyDescent="0.35">
      <c r="A19" s="11" t="s">
        <v>116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34"/>
      <c r="AE19" s="34"/>
      <c r="AF19" s="34"/>
      <c r="AG19" s="34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>
        <f>D48</f>
        <v>44.3</v>
      </c>
      <c r="AT19" s="34"/>
      <c r="AU19" s="9"/>
      <c r="AV19" s="9"/>
      <c r="AW19" s="9"/>
      <c r="AX19" s="9"/>
      <c r="AY19" s="9"/>
      <c r="AZ19" s="9"/>
    </row>
    <row r="20" spans="1:52" ht="17.399999999999999" x14ac:dyDescent="0.35">
      <c r="A20" s="11" t="s">
        <v>119</v>
      </c>
      <c r="B20" s="9"/>
      <c r="C20" s="9"/>
      <c r="D20" s="9"/>
      <c r="E20" s="9"/>
      <c r="F20" s="9"/>
      <c r="G20" s="9"/>
      <c r="H20" s="9">
        <f>D51</f>
        <v>6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34"/>
      <c r="AE20" s="34"/>
      <c r="AF20" s="34"/>
      <c r="AG20" s="34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34"/>
      <c r="AU20" s="9"/>
      <c r="AV20" s="9"/>
      <c r="AW20" s="9"/>
      <c r="AX20" s="9"/>
      <c r="AY20" s="9"/>
      <c r="AZ20" s="9"/>
    </row>
    <row r="21" spans="1:52" ht="17.399999999999999" x14ac:dyDescent="0.35">
      <c r="A21" s="11" t="s">
        <v>120</v>
      </c>
      <c r="B21" s="9"/>
      <c r="C21" s="9"/>
      <c r="D21" s="9"/>
      <c r="E21" s="9"/>
      <c r="F21" s="9"/>
      <c r="G21" s="9"/>
      <c r="H21" s="9"/>
      <c r="I21" s="9"/>
      <c r="J21" s="9"/>
      <c r="K21" s="9">
        <f>D51</f>
        <v>6</v>
      </c>
      <c r="L21" s="9"/>
      <c r="M21" s="9"/>
      <c r="N21" s="9"/>
      <c r="O21" s="9"/>
      <c r="P21" s="9">
        <f>D51</f>
        <v>6</v>
      </c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34"/>
      <c r="AE21" s="34"/>
      <c r="AF21" s="34"/>
      <c r="AG21" s="34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34"/>
      <c r="AU21" s="9"/>
      <c r="AV21" s="9"/>
      <c r="AW21" s="9"/>
      <c r="AX21" s="9"/>
      <c r="AY21" s="9"/>
      <c r="AZ21" s="9"/>
    </row>
    <row r="22" spans="1:52" ht="17.399999999999999" x14ac:dyDescent="0.35">
      <c r="A22" s="11" t="s">
        <v>121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>
        <f>D51</f>
        <v>6</v>
      </c>
      <c r="V22" s="9"/>
      <c r="W22" s="9"/>
      <c r="X22" s="9"/>
      <c r="Y22" s="9">
        <f>D51</f>
        <v>6</v>
      </c>
      <c r="Z22" s="9"/>
      <c r="AA22" s="9"/>
      <c r="AB22" s="9"/>
      <c r="AC22" s="9">
        <f>D51</f>
        <v>6</v>
      </c>
      <c r="AD22" s="34"/>
      <c r="AE22" s="34">
        <f>D51</f>
        <v>6</v>
      </c>
      <c r="AF22" s="34"/>
      <c r="AG22" s="34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34"/>
      <c r="AU22" s="9"/>
      <c r="AV22" s="9"/>
      <c r="AW22" s="9"/>
      <c r="AX22" s="9"/>
      <c r="AY22" s="9"/>
      <c r="AZ22" s="9"/>
    </row>
    <row r="23" spans="1:52" ht="17.399999999999999" x14ac:dyDescent="0.35">
      <c r="A23" s="11" t="s">
        <v>122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34"/>
      <c r="AE23" s="34"/>
      <c r="AF23" s="34"/>
      <c r="AG23" s="34"/>
      <c r="AH23" s="9"/>
      <c r="AI23" s="9"/>
      <c r="AJ23" s="9">
        <f>D51</f>
        <v>6</v>
      </c>
      <c r="AK23" s="9"/>
      <c r="AL23" s="9"/>
      <c r="AM23" s="9"/>
      <c r="AN23" s="9"/>
      <c r="AO23" s="9"/>
      <c r="AP23" s="9"/>
      <c r="AQ23" s="9"/>
      <c r="AR23" s="9"/>
      <c r="AS23" s="9">
        <f>D51</f>
        <v>6</v>
      </c>
      <c r="AT23" s="34"/>
      <c r="AU23" s="9"/>
      <c r="AV23" s="9"/>
      <c r="AW23" s="9"/>
      <c r="AX23" s="9"/>
      <c r="AY23" s="9"/>
      <c r="AZ23" s="9"/>
    </row>
    <row r="24" spans="1:52" ht="17.399999999999999" x14ac:dyDescent="0.35">
      <c r="A24" s="11" t="s">
        <v>123</v>
      </c>
      <c r="B24" s="12"/>
      <c r="C24" s="12"/>
      <c r="D24" s="12">
        <f>D52</f>
        <v>0.03</v>
      </c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35"/>
      <c r="AE24" s="35"/>
      <c r="AF24" s="35"/>
      <c r="AG24" s="35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35"/>
      <c r="AU24" s="12"/>
      <c r="AV24" s="12"/>
      <c r="AW24" s="12"/>
      <c r="AX24" s="12"/>
      <c r="AY24" s="12"/>
      <c r="AZ24" s="12"/>
    </row>
    <row r="25" spans="1:52" ht="17.399999999999999" x14ac:dyDescent="0.35">
      <c r="A25" s="11" t="s">
        <v>124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35"/>
      <c r="AE25" s="35"/>
      <c r="AF25" s="35"/>
      <c r="AG25" s="35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35"/>
      <c r="AU25" s="12"/>
      <c r="AV25" s="12"/>
      <c r="AW25" s="12"/>
      <c r="AX25" s="12"/>
      <c r="AY25" s="12"/>
      <c r="AZ25" s="12"/>
    </row>
    <row r="26" spans="1:52" ht="17.399999999999999" x14ac:dyDescent="0.35">
      <c r="A26" s="11" t="s">
        <v>125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35"/>
      <c r="AE26" s="35"/>
      <c r="AF26" s="35"/>
      <c r="AG26" s="35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35"/>
      <c r="AU26" s="12"/>
      <c r="AV26" s="12"/>
      <c r="AW26" s="12"/>
      <c r="AX26" s="12"/>
      <c r="AY26" s="12"/>
      <c r="AZ26" s="12"/>
    </row>
    <row r="27" spans="1:52" ht="17.399999999999999" x14ac:dyDescent="0.35">
      <c r="A27" s="11" t="s">
        <v>126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35"/>
      <c r="AE27" s="35"/>
      <c r="AF27" s="35"/>
      <c r="AG27" s="35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35"/>
      <c r="AU27" s="12"/>
      <c r="AV27" s="12"/>
      <c r="AW27" s="12"/>
      <c r="AX27" s="12"/>
      <c r="AY27" s="12"/>
      <c r="AZ27" s="12"/>
    </row>
    <row r="28" spans="1:52" ht="17.399999999999999" x14ac:dyDescent="0.35">
      <c r="A28" s="11" t="s">
        <v>74</v>
      </c>
      <c r="B28" s="9"/>
      <c r="C28" s="9"/>
      <c r="D28" s="9"/>
      <c r="E28" s="9">
        <f>D53</f>
        <v>5.0999999999999996</v>
      </c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>
        <f>D53</f>
        <v>5.0999999999999996</v>
      </c>
      <c r="T28" s="9"/>
      <c r="U28" s="9"/>
      <c r="V28" s="9"/>
      <c r="W28" s="9"/>
      <c r="X28" s="9">
        <f>D53</f>
        <v>5.0999999999999996</v>
      </c>
      <c r="Y28" s="9"/>
      <c r="Z28" s="9"/>
      <c r="AA28" s="9"/>
      <c r="AB28" s="9"/>
      <c r="AC28" s="9"/>
      <c r="AD28" s="34"/>
      <c r="AE28" s="34"/>
      <c r="AF28" s="34"/>
      <c r="AG28" s="34"/>
      <c r="AH28" s="9"/>
      <c r="AI28" s="9">
        <f>D53</f>
        <v>5.0999999999999996</v>
      </c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34"/>
      <c r="AU28" s="9"/>
      <c r="AV28" s="9"/>
      <c r="AW28" s="9">
        <f>F53</f>
        <v>5.0999999999999996</v>
      </c>
      <c r="AX28" s="9">
        <f>F53</f>
        <v>5.0999999999999996</v>
      </c>
      <c r="AY28" s="9"/>
      <c r="AZ28" s="9"/>
    </row>
    <row r="29" spans="1:52" s="48" customFormat="1" ht="17.399999999999999" x14ac:dyDescent="0.35">
      <c r="A29" s="65" t="s">
        <v>208</v>
      </c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34"/>
      <c r="AH29" s="34"/>
      <c r="AI29" s="34"/>
      <c r="AJ29" s="34"/>
      <c r="AK29" s="34"/>
      <c r="AL29" s="34"/>
      <c r="AM29" s="34"/>
      <c r="AN29" s="34"/>
      <c r="AO29" s="35">
        <f>D54</f>
        <v>2.5000000000000001E-2</v>
      </c>
      <c r="AP29" s="34"/>
      <c r="AQ29" s="34"/>
      <c r="AR29" s="34"/>
      <c r="AS29" s="34"/>
      <c r="AT29" s="34"/>
      <c r="AU29" s="34"/>
      <c r="AV29" s="34"/>
      <c r="AW29" s="34"/>
      <c r="AX29" s="34"/>
      <c r="AY29" s="34"/>
      <c r="AZ29" s="34"/>
    </row>
    <row r="30" spans="1:52" ht="17.399999999999999" x14ac:dyDescent="0.35">
      <c r="A30" s="11" t="s">
        <v>76</v>
      </c>
      <c r="B30" s="12"/>
      <c r="C30" s="12"/>
      <c r="D30" s="12"/>
      <c r="E30" s="12"/>
      <c r="F30" s="12"/>
      <c r="G30" s="12"/>
      <c r="H30" s="12"/>
      <c r="I30" s="12">
        <f>D55</f>
        <v>2.5000000000000001E-2</v>
      </c>
      <c r="J30" s="12"/>
      <c r="K30" s="12"/>
      <c r="L30" s="12"/>
      <c r="M30" s="12"/>
      <c r="N30" s="12"/>
      <c r="O30" s="12"/>
      <c r="P30" s="12"/>
      <c r="Q30" s="12">
        <f>D55</f>
        <v>2.5000000000000001E-2</v>
      </c>
      <c r="R30" s="12">
        <f>C55</f>
        <v>2.8000000000000001E-2</v>
      </c>
      <c r="S30" s="12"/>
      <c r="T30" s="12"/>
      <c r="U30" s="12"/>
      <c r="V30" s="12"/>
      <c r="W30" s="12"/>
      <c r="X30" s="12"/>
      <c r="Y30" s="12"/>
      <c r="Z30" s="12"/>
      <c r="AA30" s="12"/>
      <c r="AB30" s="12">
        <f>D55</f>
        <v>2.5000000000000001E-2</v>
      </c>
      <c r="AC30" s="12"/>
      <c r="AD30" s="35"/>
      <c r="AE30" s="35"/>
      <c r="AF30" s="35"/>
      <c r="AG30" s="35">
        <f>D55</f>
        <v>2.5000000000000001E-2</v>
      </c>
      <c r="AH30" s="12"/>
      <c r="AI30" s="12"/>
      <c r="AJ30" s="12"/>
      <c r="AK30" s="12">
        <f>D55</f>
        <v>2.5000000000000001E-2</v>
      </c>
      <c r="AL30" s="12"/>
      <c r="AM30" s="12"/>
      <c r="AN30" s="12"/>
      <c r="AO30" s="12"/>
      <c r="AP30" s="12"/>
      <c r="AQ30" s="12">
        <f>D55</f>
        <v>2.5000000000000001E-2</v>
      </c>
      <c r="AR30" s="12"/>
      <c r="AS30" s="12"/>
      <c r="AT30" s="35"/>
      <c r="AU30" s="12">
        <f>E55</f>
        <v>2.8000000000000001E-2</v>
      </c>
      <c r="AV30" s="12"/>
      <c r="AW30" s="12"/>
      <c r="AX30" s="12"/>
      <c r="AY30" s="12">
        <f>F55</f>
        <v>2.5000000000000001E-2</v>
      </c>
      <c r="AZ30" s="12"/>
    </row>
    <row r="34" spans="2:9" x14ac:dyDescent="0.35">
      <c r="B34" s="42" t="s">
        <v>191</v>
      </c>
      <c r="C34" s="43" t="s">
        <v>201</v>
      </c>
      <c r="D34" s="43" t="s">
        <v>202</v>
      </c>
      <c r="E34" s="43" t="s">
        <v>203</v>
      </c>
      <c r="F34" s="43" t="s">
        <v>204</v>
      </c>
      <c r="G34" s="45" t="s">
        <v>205</v>
      </c>
    </row>
    <row r="35" spans="2:9" x14ac:dyDescent="0.35">
      <c r="B35" s="46" t="s">
        <v>179</v>
      </c>
      <c r="C35" s="60">
        <v>130.1</v>
      </c>
      <c r="D35" s="37">
        <v>117.1</v>
      </c>
      <c r="E35" s="37"/>
      <c r="F35" s="37">
        <v>117.1</v>
      </c>
      <c r="G35" s="49"/>
    </row>
    <row r="36" spans="2:9" x14ac:dyDescent="0.35">
      <c r="B36" s="46" t="s">
        <v>184</v>
      </c>
      <c r="C36" s="60">
        <v>130.1</v>
      </c>
      <c r="D36" s="37"/>
      <c r="E36" s="37"/>
      <c r="F36" s="37"/>
      <c r="G36" s="49">
        <v>104.1</v>
      </c>
      <c r="H36" t="s">
        <v>213</v>
      </c>
      <c r="I36">
        <v>121.3</v>
      </c>
    </row>
    <row r="37" spans="2:9" s="48" customFormat="1" x14ac:dyDescent="0.35">
      <c r="B37" s="46" t="s">
        <v>209</v>
      </c>
      <c r="C37" s="47"/>
      <c r="D37" s="47">
        <v>39</v>
      </c>
      <c r="E37" s="47">
        <v>43.4</v>
      </c>
      <c r="F37" s="47">
        <v>39</v>
      </c>
      <c r="G37" s="49"/>
    </row>
    <row r="38" spans="2:9" s="48" customFormat="1" x14ac:dyDescent="0.35">
      <c r="B38" s="46" t="s">
        <v>210</v>
      </c>
      <c r="C38" s="47"/>
      <c r="D38" s="47">
        <v>78</v>
      </c>
      <c r="E38" s="47">
        <v>86.8</v>
      </c>
      <c r="F38" s="47">
        <v>78</v>
      </c>
      <c r="G38" s="49"/>
    </row>
    <row r="39" spans="2:9" x14ac:dyDescent="0.35">
      <c r="B39" s="46" t="s">
        <v>185</v>
      </c>
      <c r="C39" s="47"/>
      <c r="D39" s="62">
        <v>0.12</v>
      </c>
      <c r="E39" s="47"/>
      <c r="F39" s="62">
        <v>0.12</v>
      </c>
      <c r="G39" s="49"/>
    </row>
    <row r="40" spans="2:9" x14ac:dyDescent="0.35">
      <c r="B40" s="46" t="s">
        <v>186</v>
      </c>
      <c r="C40" s="62">
        <v>0.15</v>
      </c>
      <c r="D40" s="61">
        <v>0.13500000000000001</v>
      </c>
      <c r="E40" s="47"/>
      <c r="F40" s="47"/>
      <c r="G40" s="49"/>
    </row>
    <row r="41" spans="2:9" x14ac:dyDescent="0.35">
      <c r="B41" s="46" t="s">
        <v>187</v>
      </c>
      <c r="C41" s="47"/>
      <c r="D41" s="61">
        <v>6.7000000000000004E-2</v>
      </c>
      <c r="E41" s="47"/>
      <c r="F41" s="47"/>
      <c r="G41" s="49"/>
    </row>
    <row r="42" spans="2:9" x14ac:dyDescent="0.35">
      <c r="B42" s="46" t="s">
        <v>192</v>
      </c>
      <c r="C42" s="61">
        <v>4.5999999999999999E-2</v>
      </c>
      <c r="D42" s="61">
        <v>4.1000000000000002E-2</v>
      </c>
      <c r="E42" s="61">
        <v>4.5999999999999999E-2</v>
      </c>
      <c r="F42" s="47"/>
      <c r="G42" s="49"/>
    </row>
    <row r="43" spans="2:9" x14ac:dyDescent="0.35">
      <c r="B43" s="46" t="s">
        <v>193</v>
      </c>
      <c r="C43" s="61">
        <v>2.3E-2</v>
      </c>
      <c r="D43" s="47"/>
      <c r="E43" s="47"/>
      <c r="F43" s="47"/>
      <c r="G43" s="49"/>
    </row>
    <row r="44" spans="2:9" x14ac:dyDescent="0.35">
      <c r="B44" s="46" t="s">
        <v>194</v>
      </c>
      <c r="C44" s="61">
        <v>4.3999999999999997E-2</v>
      </c>
      <c r="D44" s="61">
        <v>0.04</v>
      </c>
      <c r="E44" s="47"/>
      <c r="F44" s="47"/>
      <c r="G44" s="55">
        <v>3.5000000000000003E-2</v>
      </c>
    </row>
    <row r="45" spans="2:9" x14ac:dyDescent="0.35">
      <c r="B45" s="46" t="s">
        <v>195</v>
      </c>
      <c r="C45" s="47"/>
      <c r="D45" s="61">
        <v>5.1999999999999998E-2</v>
      </c>
      <c r="E45" s="47"/>
      <c r="F45" s="47"/>
      <c r="G45" s="49"/>
    </row>
    <row r="46" spans="2:9" x14ac:dyDescent="0.35">
      <c r="B46" s="46" t="s">
        <v>196</v>
      </c>
      <c r="C46" s="47"/>
      <c r="D46" s="61">
        <v>0.04</v>
      </c>
      <c r="E46" s="47"/>
      <c r="F46" s="47"/>
      <c r="G46" s="49"/>
    </row>
    <row r="47" spans="2:9" x14ac:dyDescent="0.35">
      <c r="B47" s="46" t="s">
        <v>211</v>
      </c>
      <c r="C47" s="47"/>
      <c r="D47" s="47">
        <v>22.1</v>
      </c>
      <c r="E47" s="47"/>
      <c r="F47" s="47"/>
      <c r="G47" s="49"/>
    </row>
    <row r="48" spans="2:9" x14ac:dyDescent="0.35">
      <c r="B48" s="46" t="s">
        <v>212</v>
      </c>
      <c r="C48" s="47"/>
      <c r="D48" s="47">
        <v>44.3</v>
      </c>
      <c r="E48" s="47"/>
      <c r="F48" s="47"/>
      <c r="G48" s="49"/>
    </row>
    <row r="49" spans="2:7" s="48" customFormat="1" x14ac:dyDescent="0.35">
      <c r="B49" s="46" t="s">
        <v>206</v>
      </c>
      <c r="C49" s="47"/>
      <c r="D49" s="47">
        <v>66.400000000000006</v>
      </c>
      <c r="E49" s="47"/>
      <c r="F49" s="47"/>
      <c r="G49" s="49"/>
    </row>
    <row r="50" spans="2:7" s="48" customFormat="1" x14ac:dyDescent="0.35">
      <c r="B50" s="46" t="s">
        <v>207</v>
      </c>
      <c r="C50" s="47"/>
      <c r="D50" s="47">
        <v>66.400000000000006</v>
      </c>
      <c r="E50" s="47"/>
      <c r="F50" s="47"/>
      <c r="G50" s="49"/>
    </row>
    <row r="51" spans="2:7" x14ac:dyDescent="0.35">
      <c r="B51" s="46" t="s">
        <v>197</v>
      </c>
      <c r="C51" s="47"/>
      <c r="D51" s="47">
        <v>6</v>
      </c>
      <c r="E51" s="47"/>
      <c r="F51" s="47"/>
      <c r="G51" s="49"/>
    </row>
    <row r="52" spans="2:7" x14ac:dyDescent="0.35">
      <c r="B52" s="46" t="s">
        <v>198</v>
      </c>
      <c r="C52" s="47"/>
      <c r="D52" s="62">
        <v>0.03</v>
      </c>
      <c r="E52" s="47"/>
      <c r="F52" s="47"/>
      <c r="G52" s="49"/>
    </row>
    <row r="53" spans="2:7" x14ac:dyDescent="0.35">
      <c r="B53" s="46" t="s">
        <v>199</v>
      </c>
      <c r="C53" s="47"/>
      <c r="D53" s="47">
        <v>5.0999999999999996</v>
      </c>
      <c r="E53" s="47"/>
      <c r="F53" s="47">
        <v>5.0999999999999996</v>
      </c>
      <c r="G53" s="49"/>
    </row>
    <row r="54" spans="2:7" s="48" customFormat="1" x14ac:dyDescent="0.35">
      <c r="B54" s="46" t="s">
        <v>208</v>
      </c>
      <c r="C54" s="47"/>
      <c r="D54" s="61">
        <v>2.5000000000000001E-2</v>
      </c>
      <c r="E54" s="47"/>
      <c r="F54" s="47"/>
      <c r="G54" s="49"/>
    </row>
    <row r="55" spans="2:7" x14ac:dyDescent="0.35">
      <c r="B55" s="50" t="s">
        <v>200</v>
      </c>
      <c r="C55" s="63">
        <v>2.8000000000000001E-2</v>
      </c>
      <c r="D55" s="63">
        <v>2.5000000000000001E-2</v>
      </c>
      <c r="E55" s="63">
        <v>2.8000000000000001E-2</v>
      </c>
      <c r="F55" s="63">
        <v>2.5000000000000001E-2</v>
      </c>
      <c r="G55" s="53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J25" sqref="J25"/>
    </sheetView>
  </sheetViews>
  <sheetFormatPr defaultRowHeight="15.6" x14ac:dyDescent="0.35"/>
  <cols>
    <col min="1" max="1" width="15.7265625" customWidth="1"/>
  </cols>
  <sheetData>
    <row r="1" spans="1:26" ht="17.399999999999999" x14ac:dyDescent="0.35">
      <c r="B1" s="10" t="s">
        <v>27</v>
      </c>
      <c r="C1" s="10" t="s">
        <v>20</v>
      </c>
      <c r="D1" s="10" t="s">
        <v>34</v>
      </c>
      <c r="E1" s="10" t="s">
        <v>10</v>
      </c>
      <c r="F1" s="10" t="s">
        <v>39</v>
      </c>
      <c r="G1" s="10" t="s">
        <v>45</v>
      </c>
      <c r="H1" s="10" t="s">
        <v>50</v>
      </c>
      <c r="I1" s="10" t="s">
        <v>56</v>
      </c>
      <c r="J1" s="10" t="s">
        <v>63</v>
      </c>
      <c r="K1" s="10" t="s">
        <v>69</v>
      </c>
      <c r="L1" s="10" t="s">
        <v>157</v>
      </c>
      <c r="M1" s="10" t="s">
        <v>190</v>
      </c>
      <c r="N1" s="18" t="s">
        <v>140</v>
      </c>
      <c r="O1" s="18" t="s">
        <v>139</v>
      </c>
      <c r="P1" s="18" t="s">
        <v>141</v>
      </c>
      <c r="Q1" s="16" t="s">
        <v>30</v>
      </c>
      <c r="R1" s="16" t="s">
        <v>23</v>
      </c>
      <c r="S1" s="16" t="s">
        <v>36</v>
      </c>
      <c r="T1" s="16" t="s">
        <v>14</v>
      </c>
      <c r="U1" s="16" t="s">
        <v>41</v>
      </c>
      <c r="V1" s="16" t="s">
        <v>47</v>
      </c>
      <c r="W1" s="16" t="s">
        <v>53</v>
      </c>
      <c r="X1" s="16" t="s">
        <v>59</v>
      </c>
      <c r="Y1" s="16" t="s">
        <v>66</v>
      </c>
      <c r="Z1" s="16" t="s">
        <v>72</v>
      </c>
    </row>
    <row r="2" spans="1:26" ht="17.399999999999999" x14ac:dyDescent="0.35">
      <c r="A2" s="11" t="s">
        <v>4</v>
      </c>
      <c r="B2" s="36">
        <f>C11</f>
        <v>380</v>
      </c>
      <c r="C2" s="36">
        <f>C11</f>
        <v>380</v>
      </c>
      <c r="D2" s="36">
        <f>C11</f>
        <v>380</v>
      </c>
      <c r="E2" s="58">
        <f>C11+C18</f>
        <v>520</v>
      </c>
      <c r="F2" s="58">
        <f>C11+C18</f>
        <v>520</v>
      </c>
      <c r="G2" s="36">
        <f>C11</f>
        <v>380</v>
      </c>
      <c r="H2" s="36">
        <f>C11</f>
        <v>380</v>
      </c>
      <c r="I2" s="58">
        <f>C11+C18</f>
        <v>520</v>
      </c>
      <c r="J2" s="58">
        <f>C11+C18</f>
        <v>520</v>
      </c>
      <c r="K2" s="37">
        <f>C11</f>
        <v>380</v>
      </c>
      <c r="L2" s="58">
        <f>C11+C18</f>
        <v>520</v>
      </c>
      <c r="M2" s="58">
        <f>C11+C18</f>
        <v>520</v>
      </c>
      <c r="N2" s="37"/>
      <c r="O2" s="37"/>
      <c r="P2" s="37"/>
    </row>
    <row r="3" spans="1:26" ht="17.399999999999999" x14ac:dyDescent="0.35">
      <c r="A3" s="11" t="s">
        <v>2</v>
      </c>
      <c r="B3" s="36">
        <f>C12</f>
        <v>757</v>
      </c>
      <c r="C3" s="58">
        <f>C12+C19</f>
        <v>897</v>
      </c>
      <c r="D3" s="36">
        <f>C12</f>
        <v>757</v>
      </c>
      <c r="E3" s="36">
        <f>C12</f>
        <v>757</v>
      </c>
      <c r="F3" s="36">
        <f>C12</f>
        <v>757</v>
      </c>
      <c r="G3" s="36">
        <f>C12</f>
        <v>757</v>
      </c>
      <c r="H3" s="36">
        <f>C12</f>
        <v>757</v>
      </c>
      <c r="I3" s="36">
        <f>C12</f>
        <v>757</v>
      </c>
      <c r="J3" s="36">
        <f>C12</f>
        <v>757</v>
      </c>
      <c r="K3" s="59">
        <f>C12+C19</f>
        <v>897</v>
      </c>
      <c r="L3" s="36">
        <f>C12</f>
        <v>757</v>
      </c>
      <c r="M3" s="36">
        <f>C12</f>
        <v>757</v>
      </c>
      <c r="N3" s="37"/>
      <c r="O3" s="37"/>
      <c r="P3" s="37"/>
    </row>
    <row r="4" spans="1:26" ht="17.399999999999999" x14ac:dyDescent="0.35">
      <c r="A4" s="11" t="s">
        <v>29</v>
      </c>
      <c r="B4" s="37"/>
      <c r="C4" s="37"/>
      <c r="D4" s="37"/>
      <c r="E4" s="37"/>
      <c r="F4" s="37"/>
      <c r="G4" s="37"/>
      <c r="H4" s="57">
        <f>C21</f>
        <v>0.161</v>
      </c>
      <c r="I4" s="37"/>
      <c r="J4" s="37"/>
      <c r="K4" s="37"/>
      <c r="L4" s="37"/>
      <c r="N4" s="38">
        <v>0.08</v>
      </c>
      <c r="O4" s="37"/>
      <c r="P4" s="37"/>
    </row>
    <row r="5" spans="1:26" ht="17.399999999999999" x14ac:dyDescent="0.35">
      <c r="A5" s="11" t="s">
        <v>33</v>
      </c>
      <c r="B5" s="57">
        <f>C22</f>
        <v>0.08</v>
      </c>
      <c r="C5" s="38"/>
      <c r="D5" s="38"/>
      <c r="E5" s="38"/>
      <c r="F5" s="38"/>
      <c r="G5" s="38"/>
      <c r="H5" s="37"/>
      <c r="I5" s="38"/>
      <c r="J5" s="38"/>
      <c r="K5" s="38"/>
      <c r="L5" s="38"/>
      <c r="N5" s="38"/>
      <c r="O5" s="37"/>
      <c r="P5" s="38">
        <v>0.04</v>
      </c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7.399999999999999" x14ac:dyDescent="0.35">
      <c r="A6" s="11" t="s">
        <v>26</v>
      </c>
      <c r="B6" s="37"/>
      <c r="C6" s="37"/>
      <c r="D6" s="57">
        <f>C20</f>
        <v>0.14299999999999999</v>
      </c>
      <c r="E6" s="37"/>
      <c r="F6" s="37"/>
      <c r="G6" s="57">
        <f>C20</f>
        <v>0.14299999999999999</v>
      </c>
      <c r="H6" s="37"/>
      <c r="I6" s="37"/>
      <c r="J6" s="37"/>
      <c r="K6" s="37"/>
      <c r="L6" s="37"/>
      <c r="N6" s="37"/>
      <c r="O6" s="38">
        <v>7.1999999999999995E-2</v>
      </c>
      <c r="P6" s="37"/>
    </row>
    <row r="7" spans="1:26" x14ac:dyDescent="0.35"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N7" s="37"/>
      <c r="O7" s="37"/>
      <c r="P7" s="37"/>
    </row>
    <row r="10" spans="1:26" x14ac:dyDescent="0.35">
      <c r="B10" s="42" t="s">
        <v>189</v>
      </c>
      <c r="C10" s="43"/>
      <c r="D10" s="44"/>
      <c r="E10" s="43" t="s">
        <v>181</v>
      </c>
      <c r="F10" s="43" t="s">
        <v>182</v>
      </c>
      <c r="G10" s="45" t="s">
        <v>183</v>
      </c>
    </row>
    <row r="11" spans="1:26" x14ac:dyDescent="0.35">
      <c r="B11" s="46" t="s">
        <v>179</v>
      </c>
      <c r="C11" s="47">
        <f>SUM(E11:G11)</f>
        <v>380</v>
      </c>
      <c r="D11" s="48"/>
      <c r="E11" s="47">
        <f>114*2</f>
        <v>228</v>
      </c>
      <c r="F11" s="47">
        <v>152</v>
      </c>
      <c r="G11" s="49"/>
    </row>
    <row r="12" spans="1:26" x14ac:dyDescent="0.35">
      <c r="B12" s="50" t="s">
        <v>184</v>
      </c>
      <c r="C12" s="51">
        <f>SUM(E12:G12)</f>
        <v>757</v>
      </c>
      <c r="D12" s="52"/>
      <c r="E12" s="51">
        <f>265*2</f>
        <v>530</v>
      </c>
      <c r="F12" s="51"/>
      <c r="G12" s="53">
        <v>227</v>
      </c>
    </row>
    <row r="13" spans="1:26" x14ac:dyDescent="0.35">
      <c r="B13" s="37"/>
      <c r="C13" s="37"/>
      <c r="E13" s="37"/>
      <c r="F13" s="37"/>
      <c r="G13" s="37"/>
    </row>
    <row r="14" spans="1:26" x14ac:dyDescent="0.35">
      <c r="B14" s="37"/>
      <c r="C14" s="37"/>
      <c r="E14" s="37"/>
      <c r="F14" s="37"/>
      <c r="G14" s="37"/>
    </row>
    <row r="15" spans="1:26" x14ac:dyDescent="0.35">
      <c r="B15" s="37"/>
      <c r="C15" s="37"/>
      <c r="E15" s="37"/>
      <c r="F15" s="37"/>
      <c r="G15" s="37"/>
    </row>
    <row r="16" spans="1:26" x14ac:dyDescent="0.35">
      <c r="B16" s="37"/>
      <c r="C16" s="37"/>
      <c r="D16" s="37"/>
      <c r="E16" s="37"/>
      <c r="F16" s="37"/>
      <c r="G16" s="37"/>
    </row>
    <row r="17" spans="2:7" x14ac:dyDescent="0.35">
      <c r="B17" s="42" t="s">
        <v>188</v>
      </c>
      <c r="C17" s="45" t="s">
        <v>180</v>
      </c>
      <c r="D17" s="37"/>
      <c r="E17" s="37"/>
      <c r="F17" s="37"/>
      <c r="G17" s="37"/>
    </row>
    <row r="18" spans="2:7" x14ac:dyDescent="0.35">
      <c r="B18" s="46" t="s">
        <v>179</v>
      </c>
      <c r="C18" s="49">
        <v>140</v>
      </c>
      <c r="D18" s="37"/>
      <c r="E18" s="37"/>
      <c r="F18" s="37"/>
      <c r="G18" s="37"/>
    </row>
    <row r="19" spans="2:7" x14ac:dyDescent="0.35">
      <c r="B19" s="46" t="s">
        <v>184</v>
      </c>
      <c r="C19" s="49">
        <v>140</v>
      </c>
    </row>
    <row r="20" spans="2:7" x14ac:dyDescent="0.35">
      <c r="B20" s="46" t="s">
        <v>185</v>
      </c>
      <c r="C20" s="54">
        <v>0.14299999999999999</v>
      </c>
    </row>
    <row r="21" spans="2:7" x14ac:dyDescent="0.35">
      <c r="B21" s="46" t="s">
        <v>186</v>
      </c>
      <c r="C21" s="55">
        <v>0.161</v>
      </c>
    </row>
    <row r="22" spans="2:7" x14ac:dyDescent="0.35">
      <c r="B22" s="50" t="s">
        <v>187</v>
      </c>
      <c r="C22" s="56">
        <v>0.08</v>
      </c>
    </row>
  </sheetData>
  <phoneticPr fontId="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2"/>
  <sheetViews>
    <sheetView tabSelected="1" workbookViewId="0">
      <selection activeCell="K11" sqref="K11"/>
    </sheetView>
  </sheetViews>
  <sheetFormatPr defaultRowHeight="15.6" x14ac:dyDescent="0.35"/>
  <cols>
    <col min="1" max="2" width="15.7265625" customWidth="1"/>
    <col min="8" max="8" width="9.08984375" bestFit="1" customWidth="1"/>
  </cols>
  <sheetData>
    <row r="1" spans="1:8" ht="17.399999999999999" x14ac:dyDescent="0.35">
      <c r="B1" s="10" t="s">
        <v>136</v>
      </c>
      <c r="C1" s="10" t="s">
        <v>137</v>
      </c>
      <c r="D1" s="10" t="s">
        <v>138</v>
      </c>
    </row>
    <row r="2" spans="1:8" ht="17.399999999999999" x14ac:dyDescent="0.35">
      <c r="A2" s="11" t="s">
        <v>2</v>
      </c>
      <c r="B2" s="9">
        <f>H3</f>
        <v>139.6</v>
      </c>
      <c r="C2" s="9">
        <f t="shared" ref="C2:C7" si="0">ROUNDUP(B2*94%,1)</f>
        <v>131.29999999999998</v>
      </c>
      <c r="D2" s="9">
        <f t="shared" ref="D2:D18" si="1">B2*50%</f>
        <v>69.8</v>
      </c>
      <c r="G2" s="67" t="s">
        <v>164</v>
      </c>
      <c r="H2" s="67"/>
    </row>
    <row r="3" spans="1:8" ht="17.399999999999999" x14ac:dyDescent="0.35">
      <c r="A3" s="11" t="s">
        <v>4</v>
      </c>
      <c r="B3" s="9">
        <f>H3</f>
        <v>139.6</v>
      </c>
      <c r="C3" s="9">
        <f t="shared" si="0"/>
        <v>131.29999999999998</v>
      </c>
      <c r="D3" s="9">
        <f t="shared" si="1"/>
        <v>69.8</v>
      </c>
      <c r="G3" s="67" t="s">
        <v>165</v>
      </c>
      <c r="H3" s="67">
        <v>139.6</v>
      </c>
    </row>
    <row r="4" spans="1:8" ht="17.399999999999999" x14ac:dyDescent="0.35">
      <c r="A4" s="11" t="s">
        <v>8</v>
      </c>
      <c r="B4" s="9">
        <f>H4</f>
        <v>79.2</v>
      </c>
      <c r="C4" s="9">
        <f t="shared" si="0"/>
        <v>74.5</v>
      </c>
      <c r="D4" s="9">
        <f t="shared" si="1"/>
        <v>39.6</v>
      </c>
      <c r="G4" s="67" t="s">
        <v>166</v>
      </c>
      <c r="H4" s="67">
        <v>79.2</v>
      </c>
    </row>
    <row r="5" spans="1:8" ht="17.399999999999999" x14ac:dyDescent="0.35">
      <c r="A5" s="11" t="s">
        <v>12</v>
      </c>
      <c r="B5" s="9">
        <f>H4</f>
        <v>79.2</v>
      </c>
      <c r="C5" s="9">
        <f t="shared" si="0"/>
        <v>74.5</v>
      </c>
      <c r="D5" s="9">
        <f t="shared" si="1"/>
        <v>39.6</v>
      </c>
      <c r="G5" s="67" t="s">
        <v>167</v>
      </c>
      <c r="H5" s="69">
        <v>0.14399999999999999</v>
      </c>
    </row>
    <row r="6" spans="1:8" ht="17.399999999999999" x14ac:dyDescent="0.35">
      <c r="A6" s="11" t="s">
        <v>18</v>
      </c>
      <c r="B6" s="9">
        <f>H4</f>
        <v>79.2</v>
      </c>
      <c r="C6" s="9">
        <f t="shared" si="0"/>
        <v>74.5</v>
      </c>
      <c r="D6" s="9">
        <f t="shared" si="1"/>
        <v>39.6</v>
      </c>
      <c r="G6" s="67" t="s">
        <v>168</v>
      </c>
      <c r="H6" s="69">
        <v>0.16200000000000001</v>
      </c>
    </row>
    <row r="7" spans="1:8" ht="17.399999999999999" x14ac:dyDescent="0.35">
      <c r="A7" s="11" t="s">
        <v>22</v>
      </c>
      <c r="B7" s="9">
        <f>H4</f>
        <v>79.2</v>
      </c>
      <c r="C7" s="9">
        <f t="shared" si="0"/>
        <v>74.5</v>
      </c>
      <c r="D7" s="9">
        <f t="shared" si="1"/>
        <v>39.6</v>
      </c>
      <c r="G7" s="67" t="s">
        <v>169</v>
      </c>
      <c r="H7" s="69">
        <v>8.1000000000000003E-2</v>
      </c>
    </row>
    <row r="8" spans="1:8" ht="17.399999999999999" x14ac:dyDescent="0.35">
      <c r="A8" s="11" t="s">
        <v>26</v>
      </c>
      <c r="B8" s="12">
        <f>H5</f>
        <v>0.14399999999999999</v>
      </c>
      <c r="C8" s="12">
        <f>ROUND(B8*94%,3)</f>
        <v>0.13500000000000001</v>
      </c>
      <c r="D8" s="12">
        <f t="shared" si="1"/>
        <v>7.1999999999999995E-2</v>
      </c>
      <c r="G8" s="67" t="s">
        <v>170</v>
      </c>
      <c r="H8" s="73">
        <v>88.4</v>
      </c>
    </row>
    <row r="9" spans="1:8" ht="17.399999999999999" x14ac:dyDescent="0.35">
      <c r="A9" s="11" t="s">
        <v>29</v>
      </c>
      <c r="B9" s="12">
        <f>H6</f>
        <v>0.16200000000000001</v>
      </c>
      <c r="C9" s="12">
        <f>ROUND(B9*94%,3)</f>
        <v>0.152</v>
      </c>
      <c r="D9" s="12">
        <f t="shared" si="1"/>
        <v>8.1000000000000003E-2</v>
      </c>
      <c r="G9" s="67" t="s">
        <v>171</v>
      </c>
      <c r="H9" s="69">
        <v>0.113</v>
      </c>
    </row>
    <row r="10" spans="1:8" ht="17.399999999999999" x14ac:dyDescent="0.35">
      <c r="A10" s="11" t="s">
        <v>33</v>
      </c>
      <c r="B10" s="12">
        <f>H7</f>
        <v>8.1000000000000003E-2</v>
      </c>
      <c r="C10" s="12">
        <f>ROUND(B10*94%,3)</f>
        <v>7.5999999999999998E-2</v>
      </c>
      <c r="D10" s="12">
        <f t="shared" si="1"/>
        <v>4.0500000000000001E-2</v>
      </c>
      <c r="G10" s="67" t="s">
        <v>172</v>
      </c>
      <c r="H10" s="69">
        <v>5.6000000000000001E-2</v>
      </c>
    </row>
    <row r="11" spans="1:8" ht="17.399999999999999" x14ac:dyDescent="0.35">
      <c r="A11" s="11" t="s">
        <v>9</v>
      </c>
      <c r="B11" s="41">
        <f>H8</f>
        <v>88.4</v>
      </c>
      <c r="C11" s="9">
        <f>ROUNDUP(B11*94%,1)</f>
        <v>83.1</v>
      </c>
      <c r="D11" s="9">
        <f t="shared" si="1"/>
        <v>44.2</v>
      </c>
      <c r="G11" s="67" t="s">
        <v>173</v>
      </c>
      <c r="H11" s="69">
        <v>5.8999999999999997E-2</v>
      </c>
    </row>
    <row r="12" spans="1:8" ht="17.399999999999999" x14ac:dyDescent="0.35">
      <c r="A12" s="11" t="s">
        <v>13</v>
      </c>
      <c r="B12" s="41">
        <f>H8</f>
        <v>88.4</v>
      </c>
      <c r="C12" s="9">
        <f>ROUNDUP(B12*94%,1)</f>
        <v>83.1</v>
      </c>
      <c r="D12" s="9">
        <f t="shared" si="1"/>
        <v>44.2</v>
      </c>
      <c r="G12" s="67" t="s">
        <v>174</v>
      </c>
      <c r="H12" s="69">
        <v>0.17699999999999999</v>
      </c>
    </row>
    <row r="13" spans="1:8" ht="17.399999999999999" x14ac:dyDescent="0.35">
      <c r="A13" s="11" t="s">
        <v>19</v>
      </c>
      <c r="B13" s="41">
        <f>H8</f>
        <v>88.4</v>
      </c>
      <c r="C13" s="9">
        <f>ROUNDUP(B13*94%,1)</f>
        <v>83.1</v>
      </c>
      <c r="D13" s="9">
        <f t="shared" si="1"/>
        <v>44.2</v>
      </c>
      <c r="G13" s="67" t="s">
        <v>176</v>
      </c>
      <c r="H13" s="73">
        <v>19.399999999999999</v>
      </c>
    </row>
    <row r="14" spans="1:8" ht="17.399999999999999" x14ac:dyDescent="0.35">
      <c r="A14" s="11" t="s">
        <v>54</v>
      </c>
      <c r="B14" s="12">
        <f>H9</f>
        <v>0.113</v>
      </c>
      <c r="C14" s="12">
        <f t="shared" ref="C14:C18" si="2">ROUND(B14*94%,3)</f>
        <v>0.106</v>
      </c>
      <c r="D14" s="12">
        <f t="shared" si="1"/>
        <v>5.6500000000000002E-2</v>
      </c>
      <c r="G14" s="67" t="s">
        <v>177</v>
      </c>
      <c r="H14" s="73">
        <v>23</v>
      </c>
    </row>
    <row r="15" spans="1:8" ht="17.399999999999999" x14ac:dyDescent="0.35">
      <c r="A15" s="11" t="s">
        <v>58</v>
      </c>
      <c r="B15" s="12">
        <f>H10</f>
        <v>5.6000000000000001E-2</v>
      </c>
      <c r="C15" s="12">
        <f t="shared" si="2"/>
        <v>5.2999999999999999E-2</v>
      </c>
      <c r="D15" s="12">
        <f t="shared" si="1"/>
        <v>2.8000000000000001E-2</v>
      </c>
      <c r="G15" s="67" t="s">
        <v>178</v>
      </c>
      <c r="H15" s="74">
        <v>0.106</v>
      </c>
    </row>
    <row r="16" spans="1:8" ht="17.399999999999999" x14ac:dyDescent="0.35">
      <c r="A16" s="11" t="s">
        <v>61</v>
      </c>
      <c r="B16" s="12">
        <f>H11</f>
        <v>5.8999999999999997E-2</v>
      </c>
      <c r="C16" s="12">
        <f t="shared" si="2"/>
        <v>5.5E-2</v>
      </c>
      <c r="D16" s="12">
        <f t="shared" si="1"/>
        <v>2.9499999999999998E-2</v>
      </c>
    </row>
    <row r="17" spans="1:4" ht="17.399999999999999" x14ac:dyDescent="0.35">
      <c r="A17" s="11" t="s">
        <v>65</v>
      </c>
      <c r="B17" s="12">
        <f>H11</f>
        <v>5.8999999999999997E-2</v>
      </c>
      <c r="C17" s="12">
        <f t="shared" si="2"/>
        <v>5.5E-2</v>
      </c>
      <c r="D17" s="12">
        <f t="shared" si="1"/>
        <v>2.9499999999999998E-2</v>
      </c>
    </row>
    <row r="18" spans="1:4" ht="17.399999999999999" x14ac:dyDescent="0.35">
      <c r="A18" s="11" t="s">
        <v>175</v>
      </c>
      <c r="B18" s="12">
        <f>H12</f>
        <v>0.17699999999999999</v>
      </c>
      <c r="C18" s="12">
        <f t="shared" si="2"/>
        <v>0.16600000000000001</v>
      </c>
      <c r="D18" s="12">
        <f t="shared" si="1"/>
        <v>8.8499999999999995E-2</v>
      </c>
    </row>
    <row r="19" spans="1:4" ht="17.399999999999999" x14ac:dyDescent="0.35">
      <c r="A19" s="11" t="s">
        <v>143</v>
      </c>
      <c r="B19" s="41">
        <f>H13</f>
        <v>19.399999999999999</v>
      </c>
      <c r="C19" s="9"/>
      <c r="D19" s="9">
        <f>B19*0.6</f>
        <v>11.639999999999999</v>
      </c>
    </row>
    <row r="20" spans="1:4" ht="17.399999999999999" x14ac:dyDescent="0.35">
      <c r="A20" s="11" t="s">
        <v>144</v>
      </c>
      <c r="B20" s="41">
        <f>H14</f>
        <v>23</v>
      </c>
      <c r="C20" s="9"/>
      <c r="D20" s="9">
        <f t="shared" ref="D20:D22" si="3">B20*0.6</f>
        <v>13.799999999999999</v>
      </c>
    </row>
    <row r="21" spans="1:4" ht="17.399999999999999" x14ac:dyDescent="0.35">
      <c r="A21" s="11" t="s">
        <v>145</v>
      </c>
      <c r="B21" s="41">
        <f>H13</f>
        <v>19.399999999999999</v>
      </c>
      <c r="C21" s="9"/>
      <c r="D21" s="9">
        <f t="shared" si="3"/>
        <v>11.639999999999999</v>
      </c>
    </row>
    <row r="22" spans="1:4" ht="17.399999999999999" x14ac:dyDescent="0.35">
      <c r="A22" s="11" t="s">
        <v>146</v>
      </c>
      <c r="B22" s="12">
        <f>H15</f>
        <v>0.106</v>
      </c>
      <c r="C22" s="12"/>
      <c r="D22" s="12">
        <f>B22*0.6</f>
        <v>6.359999999999999E-2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基础数据汇总</vt:lpstr>
      <vt:lpstr>随等级成长的基础数据</vt:lpstr>
      <vt:lpstr>武学天赋</vt:lpstr>
      <vt:lpstr>心法</vt:lpstr>
      <vt:lpstr>装备套装</vt:lpstr>
      <vt:lpstr>装备词条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濛 付</cp:lastModifiedBy>
  <dcterms:created xsi:type="dcterms:W3CDTF">2026-02-07T19:37:53Z</dcterms:created>
  <dcterms:modified xsi:type="dcterms:W3CDTF">2026-10-01T16:51:45Z</dcterms:modified>
</cp:coreProperties>
</file>